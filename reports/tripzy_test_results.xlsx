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cceptance (PBL 7)" sheetId="2" state="visible" r:id="rId4"/>
    <sheet name="All tes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<sst xmlns="http://schemas.openxmlformats.org/spreadsheetml/2006/main" count="790" uniqueCount="288">
  <si>
    <t xml:space="preserve">Tripzy — automated test run</t>
  </si>
  <si>
    <t xml:space="preserve">Run started</t>
  </si>
  <si>
    <t xml:space="preserve">18-10-2026 23:08:33</t>
  </si>
  <si>
    <t xml:space="preserve">Executed by</t>
  </si>
  <si>
    <t xml:space="preserve">Automated (pytest)</t>
  </si>
  <si>
    <t xml:space="preserve">Command</t>
  </si>
  <si>
    <t xml:space="preserve">python scripts/export_test_results.py</t>
  </si>
  <si>
    <t xml:space="preserve">pytest summary</t>
  </si>
  <si>
    <t xml:space="preserve">147 passed in 22.85s</t>
  </si>
  <si>
    <t xml:space="preserve">Area</t>
  </si>
  <si>
    <t xml:space="preserve">Total</t>
  </si>
  <si>
    <t xml:space="preserve">Pass</t>
  </si>
  <si>
    <t xml:space="preserve">Fail</t>
  </si>
  <si>
    <t xml:space="preserve">Skipped</t>
  </si>
  <si>
    <t xml:space="preserve">Pass rate</t>
  </si>
  <si>
    <t xml:space="preserve">Duration (s)</t>
  </si>
  <si>
    <t xml:space="preserve">Browser end-to-end</t>
  </si>
  <si>
    <t xml:space="preserve">Acceptance (PBL 7)</t>
  </si>
  <si>
    <t xml:space="preserve">Authentication</t>
  </si>
  <si>
    <t xml:space="preserve">Budget / expenses</t>
  </si>
  <si>
    <t xml:space="preserve">Friend groups</t>
  </si>
  <si>
    <t xml:space="preserve">Friends</t>
  </si>
  <si>
    <t xml:space="preserve">Locations</t>
  </si>
  <si>
    <t xml:space="preserve">Trips</t>
  </si>
  <si>
    <t xml:space="preserve">Acceptance cases (PBL 7)</t>
  </si>
  <si>
    <t xml:space="preserve">Passed</t>
  </si>
  <si>
    <t xml:space="preserve">Failed</t>
  </si>
  <si>
    <t xml:space="preserve">Not run</t>
  </si>
  <si>
    <t xml:space="preserve">Test ID</t>
  </si>
  <si>
    <t xml:space="preserve">Module</t>
  </si>
  <si>
    <t xml:space="preserve">Test Scenario</t>
  </si>
  <si>
    <t xml:space="preserve">Test Steps / Input</t>
  </si>
  <si>
    <t xml:space="preserve">Expected Result</t>
  </si>
  <si>
    <t xml:space="preserve">Actual Result</t>
  </si>
  <si>
    <t xml:space="preserve">Status</t>
  </si>
  <si>
    <t xml:space="preserve">Executed Time</t>
  </si>
  <si>
    <t xml:space="preserve">Executed By</t>
  </si>
  <si>
    <t xml:space="preserve">Executed Date</t>
  </si>
  <si>
    <t xml:space="preserve">Automated Test</t>
  </si>
  <si>
    <t xml:space="preserve">BS-01</t>
  </si>
  <si>
    <t xml:space="preserve">Budget Splitter</t>
  </si>
  <si>
    <t xml:space="preserve">Add expense with valid amount, payer and participant</t>
  </si>
  <si>
    <t xml:space="preserve">Open trip → Budget Splitter → Add Expense → enter amount → choose payer and participant(s) → choose split option → save</t>
  </si>
  <si>
    <t xml:space="preserve">Expense is added successfully</t>
  </si>
  <si>
    <t xml:space="preserve">Expense of ₹900.00 saved (HTTP 201) with the chosen payer; shares sum to the total; expense appears in the list.</t>
  </si>
  <si>
    <t xml:space="preserve">23:08:33</t>
  </si>
  <si>
    <t xml:space="preserve">18-10-2026</t>
  </si>
  <si>
    <t xml:space="preserve">tests/test_acceptance_cases.py::test_add_expense_valid</t>
  </si>
  <si>
    <t xml:space="preserve">BS-02</t>
  </si>
  <si>
    <t xml:space="preserve">Add a negative expense</t>
  </si>
  <si>
    <t xml:space="preserve">Enter a negative amount and attempt to save</t>
  </si>
  <si>
    <t xml:space="preserve">Error message: "Enter a valid amount"</t>
  </si>
  <si>
    <t xml:space="preserve">Save rejected (HTTP 422) with message "Enter a valid amount"; no expense was created.</t>
  </si>
  <si>
    <t xml:space="preserve">tests/test_acceptance_cases.py::test_negative_expense_rejected</t>
  </si>
  <si>
    <t xml:space="preserve">BS-03</t>
  </si>
  <si>
    <t xml:space="preserve">Split equally among all members</t>
  </si>
  <si>
    <t xml:space="preserve">Add expense, select all trip members, choose equal split, save</t>
  </si>
  <si>
    <t xml:space="preserve">Expense is split among all selected members</t>
  </si>
  <si>
    <t xml:space="preserve">₹900.00 split into ₹300.00 for each of the 3 members.</t>
  </si>
  <si>
    <t xml:space="preserve">tests/test_acceptance_cases.py::test_equal_split_all_members</t>
  </si>
  <si>
    <t xml:space="preserve">BS-04</t>
  </si>
  <si>
    <t xml:space="preserve">Split among selected members</t>
  </si>
  <si>
    <t xml:space="preserve">Add expense and select only required participants</t>
  </si>
  <si>
    <t xml:space="preserve">Only selected participants receive shares</t>
  </si>
  <si>
    <t xml:space="preserve">₹600.00 split ₹300.00 each between the 2 selected members; the unselected member has no share and a zero balance.</t>
  </si>
  <si>
    <t xml:space="preserve">tests/test_acceptance_cases.py::test_split_selected_members_only</t>
  </si>
  <si>
    <t xml:space="preserve">BS-05</t>
  </si>
  <si>
    <t xml:space="preserve">Customise shares</t>
  </si>
  <si>
    <t xml:space="preserve">Enter details, payer and participants; set custom shares; verify total; save</t>
  </si>
  <si>
    <t xml:space="preserve">Expense is added and shares/amounts update correctly</t>
  </si>
  <si>
    <t xml:space="preserve">₹500.00 saved with custom shares ₹100 / ₹250 / ₹150; net balances updated to +₹400 / −₹250 / −₹150.</t>
  </si>
  <si>
    <t xml:space="preserve">tests/test_acceptance_cases.py::test_custom_split_reconciles_total</t>
  </si>
  <si>
    <t xml:space="preserve">BS-06</t>
  </si>
  <si>
    <t xml:space="preserve">Delete an expense</t>
  </si>
  <si>
    <t xml:space="preserve">Locate expense → Delete → confirm if prompted</t>
  </si>
  <si>
    <t xml:space="preserve">Expense is deleted and balances update</t>
  </si>
  <si>
    <t xml:space="preserve">Expense and its shares removed from the database; balances recalculated from the remaining expense.</t>
  </si>
  <si>
    <t xml:space="preserve">tests/test_acceptance_cases.py::test_delete_expense_updates_balances</t>
  </si>
  <si>
    <t xml:space="preserve">TM-01</t>
  </si>
  <si>
    <t xml:space="preserve">Trip Management</t>
  </si>
  <si>
    <t xml:space="preserve">Create trip</t>
  </si>
  <si>
    <t xml:space="preserve">Open Trip Management → Create Trip → enter name, destination/details and optional dates → save</t>
  </si>
  <si>
    <t xml:space="preserve">New trip is created successfully</t>
  </si>
  <si>
    <t xml:space="preserve">Trip “Goa Weekend” created (HTTP 201) with destination and dates, and listed under the user's trips.</t>
  </si>
  <si>
    <t xml:space="preserve">tests/test_acceptance_cases.py::test_create_trip</t>
  </si>
  <si>
    <t xml:space="preserve">TM-02</t>
  </si>
  <si>
    <t xml:space="preserve">Add members</t>
  </si>
  <si>
    <t xml:space="preserve">Open trip → Members → Add Member → select user → confirm</t>
  </si>
  <si>
    <t xml:space="preserve">Selected member is added</t>
  </si>
  <si>
    <t xml:space="preserve">User added as a trip member (HTTP 201) and can now open the trip.</t>
  </si>
  <si>
    <t xml:space="preserve">tests/test_acceptance_cases.py::test_owner_adds_trip_member</t>
  </si>
  <si>
    <t xml:space="preserve">TM-03</t>
  </si>
  <si>
    <t xml:space="preserve">Remove member</t>
  </si>
  <si>
    <t xml:space="preserve">Open trip → Members → select member → Remove Member → confirm</t>
  </si>
  <si>
    <t xml:space="preserve">Selected member is removed</t>
  </si>
  <si>
    <t xml:space="preserve">Selected member removed (HTTP 204); other members unaffected.</t>
  </si>
  <si>
    <t xml:space="preserve">tests/test_acceptance_cases.py::test_owner_removes_trip_member</t>
  </si>
  <si>
    <t xml:space="preserve">TM-04</t>
  </si>
  <si>
    <t xml:space="preserve">Delete trip</t>
  </si>
  <si>
    <t xml:space="preserve">Open trip settings → Delete Trip → confirm</t>
  </si>
  <si>
    <t xml:space="preserve">Selected trip and dependent data are deleted</t>
  </si>
  <si>
    <t xml:space="preserve">Trip, its members, expenses, shares and saved locations deleted; another trip's data untouched.</t>
  </si>
  <si>
    <t xml:space="preserve">tests/test_acceptance_cases.py::test_delete_trip_cascades_data</t>
  </si>
  <si>
    <t xml:space="preserve">LS-01</t>
  </si>
  <si>
    <t xml:space="preserve">Location Suggestion</t>
  </si>
  <si>
    <t xml:space="preserve">Add location</t>
  </si>
  <si>
    <t xml:space="preserve">Open trip → Locations → Add Location → search/select a place → Save</t>
  </si>
  <si>
    <t xml:space="preserve">Location is saved to the trip</t>
  </si>
  <si>
    <t xml:space="preserve">Selected place saved (HTTP 201) and visible to other trip members.</t>
  </si>
  <si>
    <t xml:space="preserve">tests/test_acceptance_cases.py::test_save_location_to_trip</t>
  </si>
  <si>
    <t xml:space="preserve">LS-02</t>
  </si>
  <si>
    <t xml:space="preserve">Suggest popular locations</t>
  </si>
  <si>
    <t xml:space="preserve">Open Location Suggestions and load suggestions</t>
  </si>
  <si>
    <t xml:space="preserve">Popular places are shown</t>
  </si>
  <si>
    <t xml:space="preserve">Suggestions for the trip destination returned, each with a name and category; Locations page loads.</t>
  </si>
  <si>
    <t xml:space="preserve">tests/test_acceptance_cases.py::test_popular_location_suggestions</t>
  </si>
  <si>
    <t xml:space="preserve">LS-03</t>
  </si>
  <si>
    <t xml:space="preserve">Enable location access</t>
  </si>
  <si>
    <t xml:space="preserve">Select Use My Location and allow the browser prompt</t>
  </si>
  <si>
    <t xml:space="preserve">App obtains location and uses it for nearby suggestions</t>
  </si>
  <si>
    <t xml:space="preserve">Browser test (Chromium): explanation shown first; after allowing, results headed “Popular places near you” for the device coordinates.</t>
  </si>
  <si>
    <t xml:space="preserve">tests/e2e/test_browser.py::test_geolocation_granted_uses_location[chromium]</t>
  </si>
  <si>
    <t xml:space="preserve">LS-04</t>
  </si>
  <si>
    <t xml:space="preserve">Location permission denied</t>
  </si>
  <si>
    <t xml:space="preserve">Trigger location access and deny the browser prompt</t>
  </si>
  <si>
    <t xml:space="preserve">Permission-denied message is shown</t>
  </si>
  <si>
    <t xml:space="preserve">Browser test (Chromium): “Location permission denied. You can still search using your trip destination.” shown; no second prompt; destination search still works.</t>
  </si>
  <si>
    <t xml:space="preserve">tests/e2e/test_browser.py::test_geolocation_denied_shows_message[chromium]</t>
  </si>
  <si>
    <t xml:space="preserve">Executed Time / Date = when this automated run started. Executed By = value passed with --tester. Actual Result describes what the automated test verified; it is shown only when the test passed. pytest summary: 147 passed in 22.85s</t>
  </si>
  <si>
    <t xml:space="preserve">#</t>
  </si>
  <si>
    <t xml:space="preserve">Test file</t>
  </si>
  <si>
    <t xml:space="preserve">Test name</t>
  </si>
  <si>
    <t xml:space="preserve">Failure / skip message</t>
  </si>
  <si>
    <t xml:space="preserve">tests/e2e/test_browser.py</t>
  </si>
  <si>
    <t xml:space="preserve">test_auth_validation_messages[chromium]</t>
  </si>
  <si>
    <t xml:space="preserve">test_trip_members_budget_and_locations_flow[chromium]</t>
  </si>
  <si>
    <t xml:space="preserve">test_friends_and_groups_flow[chromium]</t>
  </si>
  <si>
    <t xml:space="preserve">test_geolocation_granted_uses_location[chromium]</t>
  </si>
  <si>
    <t xml:space="preserve">test_geolocation_denied_shows_message[chromium]</t>
  </si>
  <si>
    <t xml:space="preserve">test_geolocation_unsupported[chromium]</t>
  </si>
  <si>
    <t xml:space="preserve">tests/test_acceptance_cases.py</t>
  </si>
  <si>
    <t xml:space="preserve">test_add_expense_valid</t>
  </si>
  <si>
    <t xml:space="preserve">test_negative_expense_rejected</t>
  </si>
  <si>
    <t xml:space="preserve">test_equal_split_all_members</t>
  </si>
  <si>
    <t xml:space="preserve">test_split_selected_members_only</t>
  </si>
  <si>
    <t xml:space="preserve">test_custom_split_reconciles_total</t>
  </si>
  <si>
    <t xml:space="preserve">test_delete_expense_updates_balances</t>
  </si>
  <si>
    <t xml:space="preserve">test_create_trip</t>
  </si>
  <si>
    <t xml:space="preserve">test_owner_adds_trip_member</t>
  </si>
  <si>
    <t xml:space="preserve">test_owner_removes_trip_member</t>
  </si>
  <si>
    <t xml:space="preserve">test_delete_trip_cascades_data</t>
  </si>
  <si>
    <t xml:space="preserve">test_save_location_to_trip</t>
  </si>
  <si>
    <t xml:space="preserve">test_popular_location_suggestions</t>
  </si>
  <si>
    <t xml:space="preserve">tests/test_auth.py</t>
  </si>
  <si>
    <t xml:space="preserve">test_signup_creates_account_and_session</t>
  </si>
  <si>
    <t xml:space="preserve">test_duplicate_email_rejected_case_insensitively</t>
  </si>
  <si>
    <t xml:space="preserve">test_signup_validation</t>
  </si>
  <si>
    <t xml:space="preserve">test_password_is_hashed</t>
  </si>
  <si>
    <t xml:space="preserve">test_login_logout</t>
  </si>
  <si>
    <t xml:space="preserve">test_login_rate_limited</t>
  </si>
  <si>
    <t xml:space="preserve">test_protected_routes_require_login</t>
  </si>
  <si>
    <t xml:space="preserve">test_mutations_require_csrf_token</t>
  </si>
  <si>
    <t xml:space="preserve">test_update_profile_keeps_email_unique</t>
  </si>
  <si>
    <t xml:space="preserve">test_change_password</t>
  </si>
  <si>
    <t xml:space="preserve">test_account_endpoint_has_no_user_id_to_tamper_with</t>
  </si>
  <si>
    <t xml:space="preserve">tests/test_expenses.py</t>
  </si>
  <si>
    <t xml:space="preserve">test_parse_amount_valid[125.50-12550]</t>
  </si>
  <si>
    <t xml:space="preserve">test_parse_amount_valid[125.5-12550]</t>
  </si>
  <si>
    <t xml:space="preserve">test_parse_amount_valid[900-90000_0]</t>
  </si>
  <si>
    <t xml:space="preserve">test_parse_amount_valid[900-90000_1]</t>
  </si>
  <si>
    <t xml:space="preserve">test_parse_amount_valid[12.25-1225]</t>
  </si>
  <si>
    <t xml:space="preserve">test_parse_amount_valid[ 1.05 -105]</t>
  </si>
  <si>
    <t xml:space="preserve">test_parse_amount_valid[.5-50]</t>
  </si>
  <si>
    <t xml:space="preserve">test_parse_amount_invalid[None]</t>
  </si>
  <si>
    <t xml:space="preserve">test_parse_amount_invalid[]</t>
  </si>
  <si>
    <t xml:space="preserve">test_parse_amount_invalid[abc]</t>
  </si>
  <si>
    <t xml:space="preserve">test_parse_amount_invalid[-1]</t>
  </si>
  <si>
    <t xml:space="preserve">test_parse_amount_invalid[-0.01]</t>
  </si>
  <si>
    <t xml:space="preserve">test_parse_amount_invalid[0]</t>
  </si>
  <si>
    <t xml:space="preserve">test_parse_amount_invalid[0.00]</t>
  </si>
  <si>
    <t xml:space="preserve">test_parse_amount_invalid[1.234]</t>
  </si>
  <si>
    <t xml:space="preserve">test_parse_amount_invalid[1e3]</t>
  </si>
  <si>
    <t xml:space="preserve">test_parse_amount_invalid[NaN]</t>
  </si>
  <si>
    <t xml:space="preserve">test_parse_amount_invalid[100000000.01]</t>
  </si>
  <si>
    <t xml:space="preserve">test_parse_amount_invalid[True]</t>
  </si>
  <si>
    <t xml:space="preserve">test_parse_amount_invalid[text12]</t>
  </si>
  <si>
    <t xml:space="preserve">test_parse_amount_invalid[\u20b910]</t>
  </si>
  <si>
    <t xml:space="preserve">test_parse_amount_allow_zero_for_shares</t>
  </si>
  <si>
    <t xml:space="preserve">test_format_minor</t>
  </si>
  <si>
    <t xml:space="preserve">test_split_equal_remainder_goes_to_lowest_ids</t>
  </si>
  <si>
    <t xml:space="preserve">test_split_equal_always_sums_exactly[1-1]</t>
  </si>
  <si>
    <t xml:space="preserve">test_split_equal_always_sums_exactly[1-2]</t>
  </si>
  <si>
    <t xml:space="preserve">test_split_equal_always_sums_exactly[1-99]</t>
  </si>
  <si>
    <t xml:space="preserve">test_split_equal_always_sums_exactly[1-100]</t>
  </si>
  <si>
    <t xml:space="preserve">test_split_equal_always_sums_exactly[1-101]</t>
  </si>
  <si>
    <t xml:space="preserve">test_split_equal_always_sums_exactly[1-12345]</t>
  </si>
  <si>
    <t xml:space="preserve">test_split_equal_always_sums_exactly[1-99999]</t>
  </si>
  <si>
    <t xml:space="preserve">test_split_equal_always_sums_exactly[2-1]</t>
  </si>
  <si>
    <t xml:space="preserve">test_split_equal_always_sums_exactly[2-2]</t>
  </si>
  <si>
    <t xml:space="preserve">test_split_equal_always_sums_exactly[2-99]</t>
  </si>
  <si>
    <t xml:space="preserve">test_split_equal_always_sums_exactly[2-100]</t>
  </si>
  <si>
    <t xml:space="preserve">test_split_equal_always_sums_exactly[2-101]</t>
  </si>
  <si>
    <t xml:space="preserve">test_split_equal_always_sums_exactly[2-12345]</t>
  </si>
  <si>
    <t xml:space="preserve">test_split_equal_always_sums_exactly[2-99999]</t>
  </si>
  <si>
    <t xml:space="preserve">test_split_equal_always_sums_exactly[3-1]</t>
  </si>
  <si>
    <t xml:space="preserve">test_split_equal_always_sums_exactly[3-2]</t>
  </si>
  <si>
    <t xml:space="preserve">test_split_equal_always_sums_exactly[3-99]</t>
  </si>
  <si>
    <t xml:space="preserve">test_split_equal_always_sums_exactly[3-100]</t>
  </si>
  <si>
    <t xml:space="preserve">test_split_equal_always_sums_exactly[3-101]</t>
  </si>
  <si>
    <t xml:space="preserve">test_split_equal_always_sums_exactly[3-12345]</t>
  </si>
  <si>
    <t xml:space="preserve">test_split_equal_always_sums_exactly[3-99999]</t>
  </si>
  <si>
    <t xml:space="preserve">test_split_equal_always_sums_exactly[7-1]</t>
  </si>
  <si>
    <t xml:space="preserve">test_split_equal_always_sums_exactly[7-2]</t>
  </si>
  <si>
    <t xml:space="preserve">test_split_equal_always_sums_exactly[7-99]</t>
  </si>
  <si>
    <t xml:space="preserve">test_split_equal_always_sums_exactly[7-100]</t>
  </si>
  <si>
    <t xml:space="preserve">test_split_equal_always_sums_exactly[7-101]</t>
  </si>
  <si>
    <t xml:space="preserve">test_split_equal_always_sums_exactly[7-12345]</t>
  </si>
  <si>
    <t xml:space="preserve">test_split_equal_always_sums_exactly[7-99999]</t>
  </si>
  <si>
    <t xml:space="preserve">test_settlements_match_debtors_to_creditors</t>
  </si>
  <si>
    <t xml:space="preserve">test_spec_example_alex_pays_900</t>
  </si>
  <si>
    <t xml:space="preserve">test_invalid_amounts_rejected[0]</t>
  </si>
  <si>
    <t xml:space="preserve">test_invalid_amounts_rejected[0.00]</t>
  </si>
  <si>
    <t xml:space="preserve">test_invalid_amounts_rejected[abc]</t>
  </si>
  <si>
    <t xml:space="preserve">test_invalid_amounts_rejected[]</t>
  </si>
  <si>
    <t xml:space="preserve">test_invalid_amounts_rejected[None]</t>
  </si>
  <si>
    <t xml:space="preserve">test_invalid_amounts_rejected[12.345]</t>
  </si>
  <si>
    <t xml:space="preserve">test_invalid_amounts_rejected[1000000000]</t>
  </si>
  <si>
    <t xml:space="preserve">test_invalid_amounts_rejected[-5]</t>
  </si>
  <si>
    <t xml:space="preserve">test_invalid_amounts_rejected[-0.5]</t>
  </si>
  <si>
    <t xml:space="preserve">test_missing_amount_field</t>
  </si>
  <si>
    <t xml:space="preserve">test_payer_must_be_member</t>
  </si>
  <si>
    <t xml:space="preserve">test_participants_must_be_members</t>
  </si>
  <si>
    <t xml:space="preserve">test_needs_at_least_one_participant</t>
  </si>
  <si>
    <t xml:space="preserve">test_duplicate_participants_rejected</t>
  </si>
  <si>
    <t xml:space="preserve">test_invalid_split_method</t>
  </si>
  <si>
    <t xml:space="preserve">test_unsupported_currency</t>
  </si>
  <si>
    <t xml:space="preserve">test_custom_shares_must_sum_to_total_no_partial_write</t>
  </si>
  <si>
    <t xml:space="preserve">test_custom_share_amounts_validated</t>
  </si>
  <si>
    <t xml:space="preserve">test_custom_share_can_be_zero</t>
  </si>
  <si>
    <t xml:space="preserve">test_equal_split_with_remainder_paise</t>
  </si>
  <si>
    <t xml:space="preserve">test_net_balances_always_sum_to_zero</t>
  </si>
  <si>
    <t xml:space="preserve">test_view_single_expense</t>
  </si>
  <si>
    <t xml:space="preserve">test_non_member_cannot_read_or_add_expenses</t>
  </si>
  <si>
    <t xml:space="preserve">test_member_can_delete_expense</t>
  </si>
  <si>
    <t xml:space="preserve">tests/test_friend_groups.py</t>
  </si>
  <si>
    <t xml:space="preserve">test_create_multiple_groups_and_rename</t>
  </si>
  <si>
    <t xml:space="preserve">test_add_and_remove_friend</t>
  </si>
  <si>
    <t xml:space="preserve">test_add_same_friend_twice_prevented</t>
  </si>
  <si>
    <t xml:space="preserve">test_add_non_friend_rejected</t>
  </si>
  <si>
    <t xml:space="preserve">test_delete_group_keeps_users_and_friendships</t>
  </si>
  <si>
    <t xml:space="preserve">test_groups_are_private_to_owner</t>
  </si>
  <si>
    <t xml:space="preserve">tests/test_friends.py</t>
  </si>
  <si>
    <t xml:space="preserve">test_search_users</t>
  </si>
  <si>
    <t xml:space="preserve">test_send_and_accept_request</t>
  </si>
  <si>
    <t xml:space="preserve">test_reject_request</t>
  </si>
  <si>
    <t xml:space="preserve">test_cancel_outgoing_request</t>
  </si>
  <si>
    <t xml:space="preserve">test_self_friend_request_rejected</t>
  </si>
  <si>
    <t xml:space="preserve">test_duplicate_request_creates_no_duplicate</t>
  </si>
  <si>
    <t xml:space="preserve">test_opposing_request_becomes_friendship</t>
  </si>
  <si>
    <t xml:space="preserve">test_request_to_unknown_user</t>
  </si>
  <si>
    <t xml:space="preserve">test_unfriend_also_removes_from_groups</t>
  </si>
  <si>
    <t xml:space="preserve">tests/test_locations.py</t>
  </si>
  <si>
    <t xml:space="preserve">test_suggestions_default_to_trip_destination</t>
  </si>
  <si>
    <t xml:space="preserve">test_manual_keyword_search</t>
  </si>
  <si>
    <t xml:space="preserve">test_coordinates_passed_to_provider_and_validated</t>
  </si>
  <si>
    <t xml:space="preserve">test_no_results_is_empty_state</t>
  </si>
  <si>
    <t xml:space="preserve">test_provider_timeout_is_friendly_error</t>
  </si>
  <si>
    <t xml:space="preserve">test_provider_rate_limit</t>
  </si>
  <si>
    <t xml:space="preserve">test_unsafe_provider_urls_dropped</t>
  </si>
  <si>
    <t xml:space="preserve">test_save_list_and_remove_location</t>
  </si>
  <si>
    <t xml:space="preserve">test_save_rejects_unsafe_url_and_missing_name</t>
  </si>
  <si>
    <t xml:space="preserve">test_coordinates_not_persisted</t>
  </si>
  <si>
    <t xml:space="preserve">test_non_member_cannot_use_locations</t>
  </si>
  <si>
    <t xml:space="preserve">test_location_from_other_trip_cannot_be_removed</t>
  </si>
  <si>
    <t xml:space="preserve">tests/test_trips.py</t>
  </si>
  <si>
    <t xml:space="preserve">test_create_trip_adds_owner_as_member</t>
  </si>
  <si>
    <t xml:space="preserve">test_create_trip_requires_name_and_destination</t>
  </si>
  <si>
    <t xml:space="preserve">test_end_date_before_start_date_rejected</t>
  </si>
  <si>
    <t xml:space="preserve">test_list_trips_only_includes_own</t>
  </si>
  <si>
    <t xml:space="preserve">test_create_trip_with_preselected_members</t>
  </si>
  <si>
    <t xml:space="preserve">test_edit_trip</t>
  </si>
  <si>
    <t xml:space="preserve">test_non_member_cannot_view_trip</t>
  </si>
  <si>
    <t xml:space="preserve">test_non_owner_cannot_delete_trip_or_manage_members</t>
  </si>
  <si>
    <t xml:space="preserve">test_add_member_by_email_and_duplicate</t>
  </si>
  <si>
    <t xml:space="preserve">test_add_nonexistent_member</t>
  </si>
  <si>
    <t xml:space="preserve">test_owner_cannot_remove_themselves</t>
  </si>
  <si>
    <t xml:space="preserve">test_member_with_expenses_cannot_be_removed</t>
  </si>
  <si>
    <t xml:space="preserve">test_removed_member_loses_access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</si>
</sst>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"/>
    <numFmt numFmtId="167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E3F6E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F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F76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6E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E3F6EC"/>
      <rgbColor rgb="FF660066"/>
      <rgbColor rgb="FFFF8080"/>
      <rgbColor rgb="FF0066CC"/>
      <rgbColor rgb="FFD8DF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llTests" displayName="AllTests" ref="A1:G148" headerRowCount="1" totalsRowCount="0" totalsRowShown="0">
  <autoFilter ref="A1:G148"/>
  <tableColumns count="7">
    <tableColumn id="1" name="#"/>
    <tableColumn id="2" name="Area"/>
    <tableColumn id="3" name="Test file"/>
    <tableColumn id="4" name="Test name"/>
    <tableColumn id="5" name="Status"/>
    <tableColumn id="6" name="Duration (s)"/>
    <tableColumn id="7" name="Failure / skip mess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9" customFormat="false" ht="15" hidden="false" customHeight="false" outlineLevel="0" collapsed="false">
      <c r="A9" s="4" t="s">
        <v>9</v>
      </c>
      <c r="B9" s="4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</row>
    <row r="10" customFormat="false" ht="15" hidden="false" customHeight="false" outlineLevel="0" collapsed="false">
      <c r="A10" s="5" t="s">
        <v>16</v>
      </c>
      <c r="B10" s="5" t="n">
        <f aca="false">COUNTIF('All tests'!$B$2:$B$148,A10)</f>
        <v>6</v>
      </c>
      <c r="C10" s="5" t="n">
        <f aca="false">COUNTIFS('All tests'!$B$2:$B$148,A10,'All tests'!$E$2:$E$148,"Pass")</f>
        <v>6</v>
      </c>
      <c r="D10" s="5" t="n">
        <f aca="false">COUNTIFS('All tests'!$B$2:$B$148,A10,'All tests'!$E$2:$E$148,"Fail")</f>
        <v>0</v>
      </c>
      <c r="E10" s="5" t="n">
        <f aca="false">COUNTIFS('All tests'!$B$2:$B$148,A10,'All tests'!$E$2:$E$148,"Skipped")</f>
        <v>0</v>
      </c>
      <c r="F10" s="6" t="n">
        <f aca="false">IF(B10=0,0,C10/B10)</f>
        <v>1</v>
      </c>
      <c r="G10" s="7" t="n">
        <f aca="false">SUMIF('All tests'!$B$2:$B$148,A10,'All tests'!$F$2:$F$148)</f>
        <v>5.411</v>
      </c>
    </row>
    <row r="11" customFormat="false" ht="15" hidden="false" customHeight="false" outlineLevel="0" collapsed="false">
      <c r="A11" s="5" t="s">
        <v>17</v>
      </c>
      <c r="B11" s="5" t="n">
        <f aca="false">COUNTIF('All tests'!$B$2:$B$148,A11)</f>
        <v>12</v>
      </c>
      <c r="C11" s="5" t="n">
        <f aca="false">COUNTIFS('All tests'!$B$2:$B$148,A11,'All tests'!$E$2:$E$148,"Pass")</f>
        <v>12</v>
      </c>
      <c r="D11" s="5" t="n">
        <f aca="false">COUNTIFS('All tests'!$B$2:$B$148,A11,'All tests'!$E$2:$E$148,"Fail")</f>
        <v>0</v>
      </c>
      <c r="E11" s="5" t="n">
        <f aca="false">COUNTIFS('All tests'!$B$2:$B$148,A11,'All tests'!$E$2:$E$148,"Skipped")</f>
        <v>0</v>
      </c>
      <c r="F11" s="6" t="n">
        <f aca="false">IF(B11=0,0,C11/B11)</f>
        <v>1</v>
      </c>
      <c r="G11" s="7" t="n">
        <f aca="false">SUMIF('All tests'!$B$2:$B$148,A11,'All tests'!$F$2:$F$148)</f>
        <v>2.648</v>
      </c>
    </row>
    <row r="12" customFormat="false" ht="15" hidden="false" customHeight="false" outlineLevel="0" collapsed="false">
      <c r="A12" s="5" t="s">
        <v>18</v>
      </c>
      <c r="B12" s="5" t="n">
        <f aca="false">COUNTIF('All tests'!$B$2:$B$148,A12)</f>
        <v>11</v>
      </c>
      <c r="C12" s="5" t="n">
        <f aca="false">COUNTIFS('All tests'!$B$2:$B$148,A12,'All tests'!$E$2:$E$148,"Pass")</f>
        <v>11</v>
      </c>
      <c r="D12" s="5" t="n">
        <f aca="false">COUNTIFS('All tests'!$B$2:$B$148,A12,'All tests'!$E$2:$E$148,"Fail")</f>
        <v>0</v>
      </c>
      <c r="E12" s="5" t="n">
        <f aca="false">COUNTIFS('All tests'!$B$2:$B$148,A12,'All tests'!$E$2:$E$148,"Skipped")</f>
        <v>0</v>
      </c>
      <c r="F12" s="6" t="n">
        <f aca="false">IF(B12=0,0,C12/B12)</f>
        <v>1</v>
      </c>
      <c r="G12" s="7" t="n">
        <f aca="false">SUMIF('All tests'!$B$2:$B$148,A12,'All tests'!$F$2:$F$148)</f>
        <v>1.713</v>
      </c>
    </row>
    <row r="13" customFormat="false" ht="15" hidden="false" customHeight="false" outlineLevel="0" collapsed="false">
      <c r="A13" s="5" t="s">
        <v>19</v>
      </c>
      <c r="B13" s="5" t="n">
        <f aca="false">COUNTIF('All tests'!$B$2:$B$148,A13)</f>
        <v>78</v>
      </c>
      <c r="C13" s="5" t="n">
        <f aca="false">COUNTIFS('All tests'!$B$2:$B$148,A13,'All tests'!$E$2:$E$148,"Pass")</f>
        <v>78</v>
      </c>
      <c r="D13" s="5" t="n">
        <f aca="false">COUNTIFS('All tests'!$B$2:$B$148,A13,'All tests'!$E$2:$E$148,"Fail")</f>
        <v>0</v>
      </c>
      <c r="E13" s="5" t="n">
        <f aca="false">COUNTIFS('All tests'!$B$2:$B$148,A13,'All tests'!$E$2:$E$148,"Skipped")</f>
        <v>0</v>
      </c>
      <c r="F13" s="6" t="n">
        <f aca="false">IF(B13=0,0,C13/B13)</f>
        <v>1</v>
      </c>
      <c r="G13" s="7" t="n">
        <f aca="false">SUMIF('All tests'!$B$2:$B$148,A13,'All tests'!$F$2:$F$148)</f>
        <v>6.626</v>
      </c>
    </row>
    <row r="14" customFormat="false" ht="15" hidden="false" customHeight="false" outlineLevel="0" collapsed="false">
      <c r="A14" s="5" t="s">
        <v>20</v>
      </c>
      <c r="B14" s="5" t="n">
        <f aca="false">COUNTIF('All tests'!$B$2:$B$148,A14)</f>
        <v>6</v>
      </c>
      <c r="C14" s="5" t="n">
        <f aca="false">COUNTIFS('All tests'!$B$2:$B$148,A14,'All tests'!$E$2:$E$148,"Pass")</f>
        <v>6</v>
      </c>
      <c r="D14" s="5" t="n">
        <f aca="false">COUNTIFS('All tests'!$B$2:$B$148,A14,'All tests'!$E$2:$E$148,"Fail")</f>
        <v>0</v>
      </c>
      <c r="E14" s="5" t="n">
        <f aca="false">COUNTIFS('All tests'!$B$2:$B$148,A14,'All tests'!$E$2:$E$148,"Skipped")</f>
        <v>0</v>
      </c>
      <c r="F14" s="6" t="n">
        <f aca="false">IF(B14=0,0,C14/B14)</f>
        <v>1</v>
      </c>
      <c r="G14" s="7" t="n">
        <f aca="false">SUMIF('All tests'!$B$2:$B$148,A14,'All tests'!$F$2:$F$148)</f>
        <v>0.982</v>
      </c>
    </row>
    <row r="15" customFormat="false" ht="15" hidden="false" customHeight="false" outlineLevel="0" collapsed="false">
      <c r="A15" s="5" t="s">
        <v>21</v>
      </c>
      <c r="B15" s="5" t="n">
        <f aca="false">COUNTIF('All tests'!$B$2:$B$148,A15)</f>
        <v>9</v>
      </c>
      <c r="C15" s="5" t="n">
        <f aca="false">COUNTIFS('All tests'!$B$2:$B$148,A15,'All tests'!$E$2:$E$148,"Pass")</f>
        <v>9</v>
      </c>
      <c r="D15" s="5" t="n">
        <f aca="false">COUNTIFS('All tests'!$B$2:$B$148,A15,'All tests'!$E$2:$E$148,"Fail")</f>
        <v>0</v>
      </c>
      <c r="E15" s="5" t="n">
        <f aca="false">COUNTIFS('All tests'!$B$2:$B$148,A15,'All tests'!$E$2:$E$148,"Skipped")</f>
        <v>0</v>
      </c>
      <c r="F15" s="6" t="n">
        <f aca="false">IF(B15=0,0,C15/B15)</f>
        <v>1</v>
      </c>
      <c r="G15" s="7" t="n">
        <f aca="false">SUMIF('All tests'!$B$2:$B$148,A15,'All tests'!$F$2:$F$148)</f>
        <v>1.555</v>
      </c>
    </row>
    <row r="16" customFormat="false" ht="15" hidden="false" customHeight="false" outlineLevel="0" collapsed="false">
      <c r="A16" s="5" t="s">
        <v>22</v>
      </c>
      <c r="B16" s="5" t="n">
        <f aca="false">COUNTIF('All tests'!$B$2:$B$148,A16)</f>
        <v>12</v>
      </c>
      <c r="C16" s="5" t="n">
        <f aca="false">COUNTIFS('All tests'!$B$2:$B$148,A16,'All tests'!$E$2:$E$148,"Pass")</f>
        <v>12</v>
      </c>
      <c r="D16" s="5" t="n">
        <f aca="false">COUNTIFS('All tests'!$B$2:$B$148,A16,'All tests'!$E$2:$E$148,"Fail")</f>
        <v>0</v>
      </c>
      <c r="E16" s="5" t="n">
        <f aca="false">COUNTIFS('All tests'!$B$2:$B$148,A16,'All tests'!$E$2:$E$148,"Skipped")</f>
        <v>0</v>
      </c>
      <c r="F16" s="6" t="n">
        <f aca="false">IF(B16=0,0,C16/B16)</f>
        <v>1</v>
      </c>
      <c r="G16" s="7" t="n">
        <f aca="false">SUMIF('All tests'!$B$2:$B$148,A16,'All tests'!$F$2:$F$148)</f>
        <v>1.38</v>
      </c>
    </row>
    <row r="17" customFormat="false" ht="15" hidden="false" customHeight="false" outlineLevel="0" collapsed="false">
      <c r="A17" s="5" t="s">
        <v>23</v>
      </c>
      <c r="B17" s="5" t="n">
        <f aca="false">COUNTIF('All tests'!$B$2:$B$148,A17)</f>
        <v>13</v>
      </c>
      <c r="C17" s="5" t="n">
        <f aca="false">COUNTIFS('All tests'!$B$2:$B$148,A17,'All tests'!$E$2:$E$148,"Pass")</f>
        <v>13</v>
      </c>
      <c r="D17" s="5" t="n">
        <f aca="false">COUNTIFS('All tests'!$B$2:$B$148,A17,'All tests'!$E$2:$E$148,"Fail")</f>
        <v>0</v>
      </c>
      <c r="E17" s="5" t="n">
        <f aca="false">COUNTIFS('All tests'!$B$2:$B$148,A17,'All tests'!$E$2:$E$148,"Skipped")</f>
        <v>0</v>
      </c>
      <c r="F17" s="6" t="n">
        <f aca="false">IF(B17=0,0,C17/B17)</f>
        <v>1</v>
      </c>
      <c r="G17" s="7" t="n">
        <f aca="false">SUMIF('All tests'!$B$2:$B$148,A17,'All tests'!$F$2:$F$148)</f>
        <v>2.3</v>
      </c>
    </row>
    <row r="18" customFormat="false" ht="15" hidden="false" customHeight="false" outlineLevel="0" collapsed="false">
      <c r="A18" s="8" t="s">
        <v>10</v>
      </c>
      <c r="B18" s="8" t="n">
        <f aca="false">SUM(B10:B17)</f>
        <v>147</v>
      </c>
      <c r="C18" s="8" t="n">
        <f aca="false">SUM(C10:C17)</f>
        <v>147</v>
      </c>
      <c r="D18" s="8" t="n">
        <f aca="false">SUM(D10:D17)</f>
        <v>0</v>
      </c>
      <c r="E18" s="8" t="n">
        <f aca="false">SUM(E10:E17)</f>
        <v>0</v>
      </c>
      <c r="F18" s="9" t="n">
        <f aca="false">IF(B18=0,0,C18/B18)</f>
        <v>1</v>
      </c>
      <c r="G18" s="10" t="n">
        <f aca="false">SUM(G10:G17)</f>
        <v>22.615</v>
      </c>
    </row>
    <row r="20" customFormat="false" ht="15" hidden="false" customHeight="false" outlineLevel="0" collapsed="false">
      <c r="A20" s="2" t="s">
        <v>24</v>
      </c>
    </row>
    <row r="21" customFormat="false" ht="15" hidden="false" customHeight="false" outlineLevel="0" collapsed="false">
      <c r="A21" s="3" t="s">
        <v>25</v>
      </c>
      <c r="B21" s="3" t="n">
        <f aca="false">COUNTIF('Acceptance (PBL 7)'!$G$2:$G$15,"Pass")</f>
        <v>14</v>
      </c>
    </row>
    <row r="22" customFormat="false" ht="15" hidden="false" customHeight="false" outlineLevel="0" collapsed="false">
      <c r="A22" s="3" t="s">
        <v>26</v>
      </c>
      <c r="B22" s="3" t="n">
        <f aca="false">COUNTIF('Acceptance (PBL 7)'!$G$2:$G$15,"Fail")</f>
        <v>0</v>
      </c>
    </row>
    <row r="23" customFormat="false" ht="15" hidden="false" customHeight="false" outlineLevel="0" collapsed="false">
      <c r="A23" s="3" t="s">
        <v>27</v>
      </c>
      <c r="B23" s="3" t="n">
        <f aca="false">COUNTIF('Acceptance (PBL 7)'!$G$2:$G$15,"Not run")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5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13"/>
    <col collapsed="false" customWidth="true" hidden="false" outlineLevel="0" max="11" min="11" style="0" width="48"/>
  </cols>
  <sheetData>
    <row r="1" customFormat="false" ht="26.85" hidden="false" customHeight="fals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customFormat="false" ht="35.05" hidden="false" customHeight="false" outlineLevel="0" collapsed="false">
      <c r="A2" s="11" t="s">
        <v>39</v>
      </c>
      <c r="B2" s="11" t="s">
        <v>40</v>
      </c>
      <c r="C2" s="11" t="s">
        <v>41</v>
      </c>
      <c r="D2" s="11" t="s">
        <v>42</v>
      </c>
      <c r="E2" s="11" t="s">
        <v>43</v>
      </c>
      <c r="F2" s="11" t="s">
        <v>44</v>
      </c>
      <c r="G2" s="12" t="s">
        <v>11</v>
      </c>
      <c r="H2" s="11" t="s">
        <v>45</v>
      </c>
      <c r="I2" s="11" t="s">
        <v>4</v>
      </c>
      <c r="J2" s="11" t="s">
        <v>46</v>
      </c>
      <c r="K2" s="11" t="s">
        <v>47</v>
      </c>
    </row>
    <row r="3" customFormat="false" ht="35.05" hidden="false" customHeight="false" outlineLevel="0" collapsed="false">
      <c r="A3" s="11" t="s">
        <v>48</v>
      </c>
      <c r="B3" s="11" t="s">
        <v>40</v>
      </c>
      <c r="C3" s="11" t="s">
        <v>49</v>
      </c>
      <c r="D3" s="11" t="s">
        <v>50</v>
      </c>
      <c r="E3" s="11" t="s">
        <v>51</v>
      </c>
      <c r="F3" s="11" t="s">
        <v>52</v>
      </c>
      <c r="G3" s="12" t="s">
        <v>11</v>
      </c>
      <c r="H3" s="11" t="s">
        <v>45</v>
      </c>
      <c r="I3" s="11" t="s">
        <v>4</v>
      </c>
      <c r="J3" s="11" t="s">
        <v>46</v>
      </c>
      <c r="K3" s="11" t="s">
        <v>53</v>
      </c>
    </row>
    <row r="4" customFormat="false" ht="23.85" hidden="false" customHeight="false" outlineLevel="0" collapsed="false">
      <c r="A4" s="11" t="s">
        <v>54</v>
      </c>
      <c r="B4" s="11" t="s">
        <v>40</v>
      </c>
      <c r="C4" s="11" t="s">
        <v>55</v>
      </c>
      <c r="D4" s="11" t="s">
        <v>56</v>
      </c>
      <c r="E4" s="11" t="s">
        <v>57</v>
      </c>
      <c r="F4" s="11" t="s">
        <v>58</v>
      </c>
      <c r="G4" s="12" t="s">
        <v>11</v>
      </c>
      <c r="H4" s="11" t="s">
        <v>45</v>
      </c>
      <c r="I4" s="11" t="s">
        <v>4</v>
      </c>
      <c r="J4" s="11" t="s">
        <v>46</v>
      </c>
      <c r="K4" s="11" t="s">
        <v>59</v>
      </c>
    </row>
    <row r="5" customFormat="false" ht="35.05" hidden="false" customHeight="false" outlineLevel="0" collapsed="false">
      <c r="A5" s="11" t="s">
        <v>60</v>
      </c>
      <c r="B5" s="11" t="s">
        <v>40</v>
      </c>
      <c r="C5" s="11" t="s">
        <v>61</v>
      </c>
      <c r="D5" s="11" t="s">
        <v>62</v>
      </c>
      <c r="E5" s="11" t="s">
        <v>63</v>
      </c>
      <c r="F5" s="11" t="s">
        <v>64</v>
      </c>
      <c r="G5" s="12" t="s">
        <v>11</v>
      </c>
      <c r="H5" s="11" t="s">
        <v>45</v>
      </c>
      <c r="I5" s="11" t="s">
        <v>4</v>
      </c>
      <c r="J5" s="11" t="s">
        <v>46</v>
      </c>
      <c r="K5" s="11" t="s">
        <v>65</v>
      </c>
    </row>
    <row r="6" customFormat="false" ht="35.05" hidden="false" customHeight="false" outlineLevel="0" collapsed="false">
      <c r="A6" s="11" t="s">
        <v>66</v>
      </c>
      <c r="B6" s="11" t="s">
        <v>40</v>
      </c>
      <c r="C6" s="11" t="s">
        <v>67</v>
      </c>
      <c r="D6" s="11" t="s">
        <v>68</v>
      </c>
      <c r="E6" s="11" t="s">
        <v>69</v>
      </c>
      <c r="F6" s="11" t="s">
        <v>70</v>
      </c>
      <c r="G6" s="12" t="s">
        <v>11</v>
      </c>
      <c r="H6" s="11" t="s">
        <v>45</v>
      </c>
      <c r="I6" s="11" t="s">
        <v>4</v>
      </c>
      <c r="J6" s="11" t="s">
        <v>46</v>
      </c>
      <c r="K6" s="11" t="s">
        <v>71</v>
      </c>
    </row>
    <row r="7" customFormat="false" ht="35.05" hidden="false" customHeight="false" outlineLevel="0" collapsed="false">
      <c r="A7" s="11" t="s">
        <v>72</v>
      </c>
      <c r="B7" s="11" t="s">
        <v>40</v>
      </c>
      <c r="C7" s="11" t="s">
        <v>73</v>
      </c>
      <c r="D7" s="11" t="s">
        <v>74</v>
      </c>
      <c r="E7" s="11" t="s">
        <v>75</v>
      </c>
      <c r="F7" s="11" t="s">
        <v>76</v>
      </c>
      <c r="G7" s="12" t="s">
        <v>11</v>
      </c>
      <c r="H7" s="11" t="s">
        <v>45</v>
      </c>
      <c r="I7" s="11" t="s">
        <v>4</v>
      </c>
      <c r="J7" s="11" t="s">
        <v>46</v>
      </c>
      <c r="K7" s="11" t="s">
        <v>77</v>
      </c>
    </row>
    <row r="8" customFormat="false" ht="35.05" hidden="false" customHeight="false" outlineLevel="0" collapsed="false">
      <c r="A8" s="11" t="s">
        <v>78</v>
      </c>
      <c r="B8" s="11" t="s">
        <v>79</v>
      </c>
      <c r="C8" s="11" t="s">
        <v>80</v>
      </c>
      <c r="D8" s="11" t="s">
        <v>81</v>
      </c>
      <c r="E8" s="11" t="s">
        <v>82</v>
      </c>
      <c r="F8" s="11" t="s">
        <v>83</v>
      </c>
      <c r="G8" s="12" t="s">
        <v>11</v>
      </c>
      <c r="H8" s="11" t="s">
        <v>45</v>
      </c>
      <c r="I8" s="11" t="s">
        <v>4</v>
      </c>
      <c r="J8" s="11" t="s">
        <v>46</v>
      </c>
      <c r="K8" s="11" t="s">
        <v>84</v>
      </c>
    </row>
    <row r="9" customFormat="false" ht="23.85" hidden="false" customHeight="false" outlineLevel="0" collapsed="false">
      <c r="A9" s="11" t="s">
        <v>85</v>
      </c>
      <c r="B9" s="11" t="s">
        <v>79</v>
      </c>
      <c r="C9" s="11" t="s">
        <v>86</v>
      </c>
      <c r="D9" s="11" t="s">
        <v>87</v>
      </c>
      <c r="E9" s="11" t="s">
        <v>88</v>
      </c>
      <c r="F9" s="11" t="s">
        <v>89</v>
      </c>
      <c r="G9" s="12" t="s">
        <v>11</v>
      </c>
      <c r="H9" s="11" t="s">
        <v>45</v>
      </c>
      <c r="I9" s="11" t="s">
        <v>4</v>
      </c>
      <c r="J9" s="11" t="s">
        <v>46</v>
      </c>
      <c r="K9" s="11" t="s">
        <v>90</v>
      </c>
    </row>
    <row r="10" customFormat="false" ht="35.05" hidden="false" customHeight="false" outlineLevel="0" collapsed="false">
      <c r="A10" s="11" t="s">
        <v>91</v>
      </c>
      <c r="B10" s="11" t="s">
        <v>79</v>
      </c>
      <c r="C10" s="11" t="s">
        <v>92</v>
      </c>
      <c r="D10" s="11" t="s">
        <v>93</v>
      </c>
      <c r="E10" s="11" t="s">
        <v>94</v>
      </c>
      <c r="F10" s="11" t="s">
        <v>95</v>
      </c>
      <c r="G10" s="12" t="s">
        <v>11</v>
      </c>
      <c r="H10" s="11" t="s">
        <v>45</v>
      </c>
      <c r="I10" s="11" t="s">
        <v>4</v>
      </c>
      <c r="J10" s="11" t="s">
        <v>46</v>
      </c>
      <c r="K10" s="11" t="s">
        <v>96</v>
      </c>
    </row>
    <row r="11" customFormat="false" ht="35.05" hidden="false" customHeight="false" outlineLevel="0" collapsed="false">
      <c r="A11" s="11" t="s">
        <v>97</v>
      </c>
      <c r="B11" s="11" t="s">
        <v>79</v>
      </c>
      <c r="C11" s="11" t="s">
        <v>98</v>
      </c>
      <c r="D11" s="11" t="s">
        <v>99</v>
      </c>
      <c r="E11" s="11" t="s">
        <v>100</v>
      </c>
      <c r="F11" s="11" t="s">
        <v>101</v>
      </c>
      <c r="G11" s="12" t="s">
        <v>11</v>
      </c>
      <c r="H11" s="11" t="s">
        <v>45</v>
      </c>
      <c r="I11" s="11" t="s">
        <v>4</v>
      </c>
      <c r="J11" s="11" t="s">
        <v>46</v>
      </c>
      <c r="K11" s="11" t="s">
        <v>102</v>
      </c>
    </row>
    <row r="12" customFormat="false" ht="23.85" hidden="false" customHeight="false" outlineLevel="0" collapsed="false">
      <c r="A12" s="11" t="s">
        <v>103</v>
      </c>
      <c r="B12" s="11" t="s">
        <v>104</v>
      </c>
      <c r="C12" s="11" t="s">
        <v>105</v>
      </c>
      <c r="D12" s="11" t="s">
        <v>106</v>
      </c>
      <c r="E12" s="11" t="s">
        <v>107</v>
      </c>
      <c r="F12" s="11" t="s">
        <v>108</v>
      </c>
      <c r="G12" s="12" t="s">
        <v>11</v>
      </c>
      <c r="H12" s="11" t="s">
        <v>45</v>
      </c>
      <c r="I12" s="11" t="s">
        <v>4</v>
      </c>
      <c r="J12" s="11" t="s">
        <v>46</v>
      </c>
      <c r="K12" s="11" t="s">
        <v>109</v>
      </c>
    </row>
    <row r="13" customFormat="false" ht="35.05" hidden="false" customHeight="false" outlineLevel="0" collapsed="false">
      <c r="A13" s="11" t="s">
        <v>110</v>
      </c>
      <c r="B13" s="11" t="s">
        <v>104</v>
      </c>
      <c r="C13" s="11" t="s">
        <v>111</v>
      </c>
      <c r="D13" s="11" t="s">
        <v>112</v>
      </c>
      <c r="E13" s="11" t="s">
        <v>113</v>
      </c>
      <c r="F13" s="11" t="s">
        <v>114</v>
      </c>
      <c r="G13" s="12" t="s">
        <v>11</v>
      </c>
      <c r="H13" s="11" t="s">
        <v>45</v>
      </c>
      <c r="I13" s="11" t="s">
        <v>4</v>
      </c>
      <c r="J13" s="11" t="s">
        <v>46</v>
      </c>
      <c r="K13" s="11" t="s">
        <v>115</v>
      </c>
    </row>
    <row r="14" customFormat="false" ht="35.05" hidden="false" customHeight="false" outlineLevel="0" collapsed="false">
      <c r="A14" s="11" t="s">
        <v>116</v>
      </c>
      <c r="B14" s="11" t="s">
        <v>104</v>
      </c>
      <c r="C14" s="11" t="s">
        <v>117</v>
      </c>
      <c r="D14" s="11" t="s">
        <v>118</v>
      </c>
      <c r="E14" s="11" t="s">
        <v>119</v>
      </c>
      <c r="F14" s="11" t="s">
        <v>120</v>
      </c>
      <c r="G14" s="12" t="s">
        <v>11</v>
      </c>
      <c r="H14" s="11" t="s">
        <v>45</v>
      </c>
      <c r="I14" s="11" t="s">
        <v>4</v>
      </c>
      <c r="J14" s="11" t="s">
        <v>46</v>
      </c>
      <c r="K14" s="11" t="s">
        <v>121</v>
      </c>
    </row>
    <row r="15" customFormat="false" ht="35.05" hidden="false" customHeight="false" outlineLevel="0" collapsed="false">
      <c r="A15" s="11" t="s">
        <v>122</v>
      </c>
      <c r="B15" s="11" t="s">
        <v>104</v>
      </c>
      <c r="C15" s="11" t="s">
        <v>123</v>
      </c>
      <c r="D15" s="11" t="s">
        <v>124</v>
      </c>
      <c r="E15" s="11" t="s">
        <v>125</v>
      </c>
      <c r="F15" s="11" t="s">
        <v>126</v>
      </c>
      <c r="G15" s="12" t="s">
        <v>11</v>
      </c>
      <c r="H15" s="11" t="s">
        <v>45</v>
      </c>
      <c r="I15" s="11" t="s">
        <v>4</v>
      </c>
      <c r="J15" s="11" t="s">
        <v>46</v>
      </c>
      <c r="K15" s="11" t="s">
        <v>127</v>
      </c>
    </row>
    <row r="17" customFormat="false" ht="15" hidden="false" customHeight="false" outlineLevel="0" collapsed="false">
      <c r="A17" s="13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62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50"/>
  </cols>
  <sheetData>
    <row r="1" customFormat="false" ht="26.85" hidden="false" customHeight="false" outlineLevel="0" collapsed="false">
      <c r="A1" s="4" t="s">
        <v>129</v>
      </c>
      <c r="B1" s="4" t="s">
        <v>9</v>
      </c>
      <c r="C1" s="4" t="s">
        <v>130</v>
      </c>
      <c r="D1" s="4" t="s">
        <v>131</v>
      </c>
      <c r="E1" s="4" t="s">
        <v>34</v>
      </c>
      <c r="F1" s="4" t="s">
        <v>15</v>
      </c>
      <c r="G1" s="4" t="s">
        <v>132</v>
      </c>
    </row>
    <row r="2" customFormat="false" ht="15" hidden="false" customHeight="false" outlineLevel="0" collapsed="false">
      <c r="A2" s="11" t="n">
        <v>1</v>
      </c>
      <c r="B2" s="11" t="s">
        <v>16</v>
      </c>
      <c r="C2" s="11" t="s">
        <v>133</v>
      </c>
      <c r="D2" s="11" t="s">
        <v>134</v>
      </c>
      <c r="E2" s="12" t="s">
        <v>11</v>
      </c>
      <c r="F2" s="14" t="n">
        <v>1.141</v>
      </c>
      <c r="G2" s="11"/>
    </row>
    <row r="3" customFormat="false" ht="15" hidden="false" customHeight="false" outlineLevel="0" collapsed="false">
      <c r="A3" s="11" t="n">
        <v>2</v>
      </c>
      <c r="B3" s="11" t="s">
        <v>16</v>
      </c>
      <c r="C3" s="11" t="s">
        <v>133</v>
      </c>
      <c r="D3" s="11" t="s">
        <v>135</v>
      </c>
      <c r="E3" s="12" t="s">
        <v>11</v>
      </c>
      <c r="F3" s="14" t="n">
        <v>1.707</v>
      </c>
      <c r="G3" s="11"/>
    </row>
    <row r="4" customFormat="false" ht="15" hidden="false" customHeight="false" outlineLevel="0" collapsed="false">
      <c r="A4" s="11" t="n">
        <v>3</v>
      </c>
      <c r="B4" s="11" t="s">
        <v>16</v>
      </c>
      <c r="C4" s="11" t="s">
        <v>133</v>
      </c>
      <c r="D4" s="11" t="s">
        <v>136</v>
      </c>
      <c r="E4" s="12" t="s">
        <v>11</v>
      </c>
      <c r="F4" s="14" t="n">
        <v>0.889</v>
      </c>
      <c r="G4" s="11"/>
    </row>
    <row r="5" customFormat="false" ht="15" hidden="false" customHeight="false" outlineLevel="0" collapsed="false">
      <c r="A5" s="11" t="n">
        <v>4</v>
      </c>
      <c r="B5" s="11" t="s">
        <v>16</v>
      </c>
      <c r="C5" s="11" t="s">
        <v>133</v>
      </c>
      <c r="D5" s="11" t="s">
        <v>137</v>
      </c>
      <c r="E5" s="12" t="s">
        <v>11</v>
      </c>
      <c r="F5" s="14" t="n">
        <v>0.537</v>
      </c>
      <c r="G5" s="11"/>
    </row>
    <row r="6" customFormat="false" ht="15" hidden="false" customHeight="false" outlineLevel="0" collapsed="false">
      <c r="A6" s="11" t="n">
        <v>5</v>
      </c>
      <c r="B6" s="11" t="s">
        <v>16</v>
      </c>
      <c r="C6" s="11" t="s">
        <v>133</v>
      </c>
      <c r="D6" s="11" t="s">
        <v>138</v>
      </c>
      <c r="E6" s="12" t="s">
        <v>11</v>
      </c>
      <c r="F6" s="14" t="n">
        <v>0.696</v>
      </c>
      <c r="G6" s="11"/>
    </row>
    <row r="7" customFormat="false" ht="15" hidden="false" customHeight="false" outlineLevel="0" collapsed="false">
      <c r="A7" s="11" t="n">
        <v>6</v>
      </c>
      <c r="B7" s="11" t="s">
        <v>16</v>
      </c>
      <c r="C7" s="11" t="s">
        <v>133</v>
      </c>
      <c r="D7" s="11" t="s">
        <v>139</v>
      </c>
      <c r="E7" s="12" t="s">
        <v>11</v>
      </c>
      <c r="F7" s="14" t="n">
        <v>0.441</v>
      </c>
      <c r="G7" s="11"/>
    </row>
    <row r="8" customFormat="false" ht="15" hidden="false" customHeight="false" outlineLevel="0" collapsed="false">
      <c r="A8" s="11" t="n">
        <v>7</v>
      </c>
      <c r="B8" s="11" t="s">
        <v>17</v>
      </c>
      <c r="C8" s="11" t="s">
        <v>140</v>
      </c>
      <c r="D8" s="11" t="s">
        <v>141</v>
      </c>
      <c r="E8" s="12" t="s">
        <v>11</v>
      </c>
      <c r="F8" s="14" t="n">
        <v>0.287</v>
      </c>
      <c r="G8" s="11"/>
    </row>
    <row r="9" customFormat="false" ht="15" hidden="false" customHeight="false" outlineLevel="0" collapsed="false">
      <c r="A9" s="11" t="n">
        <v>8</v>
      </c>
      <c r="B9" s="11" t="s">
        <v>17</v>
      </c>
      <c r="C9" s="11" t="s">
        <v>140</v>
      </c>
      <c r="D9" s="11" t="s">
        <v>142</v>
      </c>
      <c r="E9" s="12" t="s">
        <v>11</v>
      </c>
      <c r="F9" s="14" t="n">
        <v>0.251</v>
      </c>
      <c r="G9" s="11"/>
    </row>
    <row r="10" customFormat="false" ht="15" hidden="false" customHeight="false" outlineLevel="0" collapsed="false">
      <c r="A10" s="11" t="n">
        <v>9</v>
      </c>
      <c r="B10" s="11" t="s">
        <v>17</v>
      </c>
      <c r="C10" s="11" t="s">
        <v>140</v>
      </c>
      <c r="D10" s="11" t="s">
        <v>143</v>
      </c>
      <c r="E10" s="12" t="s">
        <v>11</v>
      </c>
      <c r="F10" s="14" t="n">
        <v>0.252</v>
      </c>
      <c r="G10" s="11"/>
    </row>
    <row r="11" customFormat="false" ht="15" hidden="false" customHeight="false" outlineLevel="0" collapsed="false">
      <c r="A11" s="11" t="n">
        <v>10</v>
      </c>
      <c r="B11" s="11" t="s">
        <v>17</v>
      </c>
      <c r="C11" s="11" t="s">
        <v>140</v>
      </c>
      <c r="D11" s="11" t="s">
        <v>144</v>
      </c>
      <c r="E11" s="12" t="s">
        <v>11</v>
      </c>
      <c r="F11" s="14" t="n">
        <v>0.246</v>
      </c>
      <c r="G11" s="11"/>
    </row>
    <row r="12" customFormat="false" ht="15" hidden="false" customHeight="false" outlineLevel="0" collapsed="false">
      <c r="A12" s="11" t="n">
        <v>11</v>
      </c>
      <c r="B12" s="11" t="s">
        <v>17</v>
      </c>
      <c r="C12" s="11" t="s">
        <v>140</v>
      </c>
      <c r="D12" s="11" t="s">
        <v>145</v>
      </c>
      <c r="E12" s="12" t="s">
        <v>11</v>
      </c>
      <c r="F12" s="14" t="n">
        <v>0.243</v>
      </c>
      <c r="G12" s="11"/>
    </row>
    <row r="13" customFormat="false" ht="15" hidden="false" customHeight="false" outlineLevel="0" collapsed="false">
      <c r="A13" s="11" t="n">
        <v>12</v>
      </c>
      <c r="B13" s="11" t="s">
        <v>17</v>
      </c>
      <c r="C13" s="11" t="s">
        <v>140</v>
      </c>
      <c r="D13" s="11" t="s">
        <v>146</v>
      </c>
      <c r="E13" s="12" t="s">
        <v>11</v>
      </c>
      <c r="F13" s="14" t="n">
        <v>0.274</v>
      </c>
      <c r="G13" s="11"/>
    </row>
    <row r="14" customFormat="false" ht="15" hidden="false" customHeight="false" outlineLevel="0" collapsed="false">
      <c r="A14" s="11" t="n">
        <v>13</v>
      </c>
      <c r="B14" s="11" t="s">
        <v>17</v>
      </c>
      <c r="C14" s="11" t="s">
        <v>140</v>
      </c>
      <c r="D14" s="11" t="s">
        <v>147</v>
      </c>
      <c r="E14" s="12" t="s">
        <v>11</v>
      </c>
      <c r="F14" s="14" t="n">
        <v>0.089</v>
      </c>
      <c r="G14" s="11"/>
    </row>
    <row r="15" customFormat="false" ht="15" hidden="false" customHeight="false" outlineLevel="0" collapsed="false">
      <c r="A15" s="11" t="n">
        <v>14</v>
      </c>
      <c r="B15" s="11" t="s">
        <v>17</v>
      </c>
      <c r="C15" s="11" t="s">
        <v>140</v>
      </c>
      <c r="D15" s="11" t="s">
        <v>148</v>
      </c>
      <c r="E15" s="12" t="s">
        <v>11</v>
      </c>
      <c r="F15" s="14" t="n">
        <v>0.175</v>
      </c>
      <c r="G15" s="11"/>
    </row>
    <row r="16" customFormat="false" ht="15" hidden="false" customHeight="false" outlineLevel="0" collapsed="false">
      <c r="A16" s="11" t="n">
        <v>15</v>
      </c>
      <c r="B16" s="11" t="s">
        <v>17</v>
      </c>
      <c r="C16" s="11" t="s">
        <v>140</v>
      </c>
      <c r="D16" s="11" t="s">
        <v>149</v>
      </c>
      <c r="E16" s="12" t="s">
        <v>11</v>
      </c>
      <c r="F16" s="14" t="n">
        <v>0.249</v>
      </c>
      <c r="G16" s="11"/>
    </row>
    <row r="17" customFormat="false" ht="15" hidden="false" customHeight="false" outlineLevel="0" collapsed="false">
      <c r="A17" s="11" t="n">
        <v>16</v>
      </c>
      <c r="B17" s="11" t="s">
        <v>17</v>
      </c>
      <c r="C17" s="11" t="s">
        <v>140</v>
      </c>
      <c r="D17" s="11" t="s">
        <v>150</v>
      </c>
      <c r="E17" s="12" t="s">
        <v>11</v>
      </c>
      <c r="F17" s="14" t="n">
        <v>0.293</v>
      </c>
      <c r="G17" s="11"/>
    </row>
    <row r="18" customFormat="false" ht="15" hidden="false" customHeight="false" outlineLevel="0" collapsed="false">
      <c r="A18" s="11" t="n">
        <v>17</v>
      </c>
      <c r="B18" s="11" t="s">
        <v>17</v>
      </c>
      <c r="C18" s="11" t="s">
        <v>140</v>
      </c>
      <c r="D18" s="11" t="s">
        <v>151</v>
      </c>
      <c r="E18" s="12" t="s">
        <v>11</v>
      </c>
      <c r="F18" s="14" t="n">
        <v>0.179</v>
      </c>
      <c r="G18" s="11"/>
    </row>
    <row r="19" customFormat="false" ht="15" hidden="false" customHeight="false" outlineLevel="0" collapsed="false">
      <c r="A19" s="11" t="n">
        <v>18</v>
      </c>
      <c r="B19" s="11" t="s">
        <v>17</v>
      </c>
      <c r="C19" s="11" t="s">
        <v>140</v>
      </c>
      <c r="D19" s="11" t="s">
        <v>152</v>
      </c>
      <c r="E19" s="12" t="s">
        <v>11</v>
      </c>
      <c r="F19" s="14" t="n">
        <v>0.11</v>
      </c>
      <c r="G19" s="11"/>
    </row>
    <row r="20" customFormat="false" ht="15" hidden="false" customHeight="false" outlineLevel="0" collapsed="false">
      <c r="A20" s="11" t="n">
        <v>19</v>
      </c>
      <c r="B20" s="11" t="s">
        <v>18</v>
      </c>
      <c r="C20" s="11" t="s">
        <v>153</v>
      </c>
      <c r="D20" s="11" t="s">
        <v>154</v>
      </c>
      <c r="E20" s="12" t="s">
        <v>11</v>
      </c>
      <c r="F20" s="14" t="n">
        <v>0.081</v>
      </c>
      <c r="G20" s="11"/>
    </row>
    <row r="21" customFormat="false" ht="15" hidden="false" customHeight="false" outlineLevel="0" collapsed="false">
      <c r="A21" s="11" t="n">
        <v>20</v>
      </c>
      <c r="B21" s="11" t="s">
        <v>18</v>
      </c>
      <c r="C21" s="11" t="s">
        <v>153</v>
      </c>
      <c r="D21" s="11" t="s">
        <v>155</v>
      </c>
      <c r="E21" s="12" t="s">
        <v>11</v>
      </c>
      <c r="F21" s="14" t="n">
        <v>0.082</v>
      </c>
      <c r="G21" s="11"/>
    </row>
    <row r="22" customFormat="false" ht="15" hidden="false" customHeight="false" outlineLevel="0" collapsed="false">
      <c r="A22" s="11" t="n">
        <v>21</v>
      </c>
      <c r="B22" s="11" t="s">
        <v>18</v>
      </c>
      <c r="C22" s="11" t="s">
        <v>153</v>
      </c>
      <c r="D22" s="11" t="s">
        <v>156</v>
      </c>
      <c r="E22" s="12" t="s">
        <v>11</v>
      </c>
      <c r="F22" s="14" t="n">
        <v>0.025</v>
      </c>
      <c r="G22" s="11"/>
    </row>
    <row r="23" customFormat="false" ht="15" hidden="false" customHeight="false" outlineLevel="0" collapsed="false">
      <c r="A23" s="11" t="n">
        <v>22</v>
      </c>
      <c r="B23" s="11" t="s">
        <v>18</v>
      </c>
      <c r="C23" s="11" t="s">
        <v>153</v>
      </c>
      <c r="D23" s="11" t="s">
        <v>157</v>
      </c>
      <c r="E23" s="12" t="s">
        <v>11</v>
      </c>
      <c r="F23" s="14" t="n">
        <v>0.079</v>
      </c>
      <c r="G23" s="11"/>
    </row>
    <row r="24" customFormat="false" ht="15" hidden="false" customHeight="false" outlineLevel="0" collapsed="false">
      <c r="A24" s="11" t="n">
        <v>23</v>
      </c>
      <c r="B24" s="11" t="s">
        <v>18</v>
      </c>
      <c r="C24" s="11" t="s">
        <v>153</v>
      </c>
      <c r="D24" s="11" t="s">
        <v>158</v>
      </c>
      <c r="E24" s="12" t="s">
        <v>11</v>
      </c>
      <c r="F24" s="14" t="n">
        <v>0.222</v>
      </c>
      <c r="G24" s="11"/>
    </row>
    <row r="25" customFormat="false" ht="15" hidden="false" customHeight="false" outlineLevel="0" collapsed="false">
      <c r="A25" s="11" t="n">
        <v>24</v>
      </c>
      <c r="B25" s="11" t="s">
        <v>18</v>
      </c>
      <c r="C25" s="11" t="s">
        <v>153</v>
      </c>
      <c r="D25" s="11" t="s">
        <v>159</v>
      </c>
      <c r="E25" s="12" t="s">
        <v>11</v>
      </c>
      <c r="F25" s="14" t="n">
        <v>0.427</v>
      </c>
      <c r="G25" s="11"/>
    </row>
    <row r="26" customFormat="false" ht="15" hidden="false" customHeight="false" outlineLevel="0" collapsed="false">
      <c r="A26" s="11" t="n">
        <v>25</v>
      </c>
      <c r="B26" s="11" t="s">
        <v>18</v>
      </c>
      <c r="C26" s="11" t="s">
        <v>153</v>
      </c>
      <c r="D26" s="11" t="s">
        <v>160</v>
      </c>
      <c r="E26" s="12" t="s">
        <v>11</v>
      </c>
      <c r="F26" s="14" t="n">
        <v>0.021</v>
      </c>
      <c r="G26" s="11"/>
    </row>
    <row r="27" customFormat="false" ht="15" hidden="false" customHeight="false" outlineLevel="0" collapsed="false">
      <c r="A27" s="11" t="n">
        <v>26</v>
      </c>
      <c r="B27" s="11" t="s">
        <v>18</v>
      </c>
      <c r="C27" s="11" t="s">
        <v>153</v>
      </c>
      <c r="D27" s="11" t="s">
        <v>161</v>
      </c>
      <c r="E27" s="12" t="s">
        <v>11</v>
      </c>
      <c r="F27" s="14" t="n">
        <v>0.091</v>
      </c>
      <c r="G27" s="11"/>
    </row>
    <row r="28" customFormat="false" ht="15" hidden="false" customHeight="false" outlineLevel="0" collapsed="false">
      <c r="A28" s="11" t="n">
        <v>27</v>
      </c>
      <c r="B28" s="11" t="s">
        <v>18</v>
      </c>
      <c r="C28" s="11" t="s">
        <v>153</v>
      </c>
      <c r="D28" s="11" t="s">
        <v>162</v>
      </c>
      <c r="E28" s="12" t="s">
        <v>11</v>
      </c>
      <c r="F28" s="14" t="n">
        <v>0.154</v>
      </c>
      <c r="G28" s="11"/>
    </row>
    <row r="29" customFormat="false" ht="15" hidden="false" customHeight="false" outlineLevel="0" collapsed="false">
      <c r="A29" s="11" t="n">
        <v>28</v>
      </c>
      <c r="B29" s="11" t="s">
        <v>18</v>
      </c>
      <c r="C29" s="11" t="s">
        <v>153</v>
      </c>
      <c r="D29" s="11" t="s">
        <v>163</v>
      </c>
      <c r="E29" s="12" t="s">
        <v>11</v>
      </c>
      <c r="F29" s="14" t="n">
        <v>0.379</v>
      </c>
      <c r="G29" s="11"/>
    </row>
    <row r="30" customFormat="false" ht="15" hidden="false" customHeight="false" outlineLevel="0" collapsed="false">
      <c r="A30" s="11" t="n">
        <v>29</v>
      </c>
      <c r="B30" s="11" t="s">
        <v>18</v>
      </c>
      <c r="C30" s="11" t="s">
        <v>153</v>
      </c>
      <c r="D30" s="11" t="s">
        <v>164</v>
      </c>
      <c r="E30" s="12" t="s">
        <v>11</v>
      </c>
      <c r="F30" s="14" t="n">
        <v>0.152</v>
      </c>
      <c r="G30" s="11"/>
    </row>
    <row r="31" customFormat="false" ht="15" hidden="false" customHeight="false" outlineLevel="0" collapsed="false">
      <c r="A31" s="11" t="n">
        <v>30</v>
      </c>
      <c r="B31" s="11" t="s">
        <v>19</v>
      </c>
      <c r="C31" s="11" t="s">
        <v>165</v>
      </c>
      <c r="D31" s="11" t="s">
        <v>166</v>
      </c>
      <c r="E31" s="12" t="s">
        <v>11</v>
      </c>
      <c r="F31" s="14" t="n">
        <v>0.001</v>
      </c>
      <c r="G31" s="11"/>
    </row>
    <row r="32" customFormat="false" ht="15" hidden="false" customHeight="false" outlineLevel="0" collapsed="false">
      <c r="A32" s="11" t="n">
        <v>31</v>
      </c>
      <c r="B32" s="11" t="s">
        <v>19</v>
      </c>
      <c r="C32" s="11" t="s">
        <v>165</v>
      </c>
      <c r="D32" s="11" t="s">
        <v>167</v>
      </c>
      <c r="E32" s="12" t="s">
        <v>11</v>
      </c>
      <c r="F32" s="14" t="n">
        <v>0</v>
      </c>
      <c r="G32" s="11"/>
    </row>
    <row r="33" customFormat="false" ht="15" hidden="false" customHeight="false" outlineLevel="0" collapsed="false">
      <c r="A33" s="11" t="n">
        <v>32</v>
      </c>
      <c r="B33" s="11" t="s">
        <v>19</v>
      </c>
      <c r="C33" s="11" t="s">
        <v>165</v>
      </c>
      <c r="D33" s="11" t="s">
        <v>168</v>
      </c>
      <c r="E33" s="12" t="s">
        <v>11</v>
      </c>
      <c r="F33" s="14" t="n">
        <v>0</v>
      </c>
      <c r="G33" s="11"/>
    </row>
    <row r="34" customFormat="false" ht="15" hidden="false" customHeight="false" outlineLevel="0" collapsed="false">
      <c r="A34" s="11" t="n">
        <v>33</v>
      </c>
      <c r="B34" s="11" t="s">
        <v>19</v>
      </c>
      <c r="C34" s="11" t="s">
        <v>165</v>
      </c>
      <c r="D34" s="11" t="s">
        <v>169</v>
      </c>
      <c r="E34" s="12" t="s">
        <v>11</v>
      </c>
      <c r="F34" s="14" t="n">
        <v>0</v>
      </c>
      <c r="G34" s="11"/>
    </row>
    <row r="35" customFormat="false" ht="15" hidden="false" customHeight="false" outlineLevel="0" collapsed="false">
      <c r="A35" s="11" t="n">
        <v>34</v>
      </c>
      <c r="B35" s="11" t="s">
        <v>19</v>
      </c>
      <c r="C35" s="11" t="s">
        <v>165</v>
      </c>
      <c r="D35" s="11" t="s">
        <v>170</v>
      </c>
      <c r="E35" s="12" t="s">
        <v>11</v>
      </c>
      <c r="F35" s="14" t="n">
        <v>0</v>
      </c>
      <c r="G35" s="11"/>
    </row>
    <row r="36" customFormat="false" ht="15" hidden="false" customHeight="false" outlineLevel="0" collapsed="false">
      <c r="A36" s="11" t="n">
        <v>35</v>
      </c>
      <c r="B36" s="11" t="s">
        <v>19</v>
      </c>
      <c r="C36" s="11" t="s">
        <v>165</v>
      </c>
      <c r="D36" s="11" t="s">
        <v>171</v>
      </c>
      <c r="E36" s="12" t="s">
        <v>11</v>
      </c>
      <c r="F36" s="14" t="n">
        <v>0.001</v>
      </c>
      <c r="G36" s="11"/>
    </row>
    <row r="37" customFormat="false" ht="15" hidden="false" customHeight="false" outlineLevel="0" collapsed="false">
      <c r="A37" s="11" t="n">
        <v>36</v>
      </c>
      <c r="B37" s="11" t="s">
        <v>19</v>
      </c>
      <c r="C37" s="11" t="s">
        <v>165</v>
      </c>
      <c r="D37" s="11" t="s">
        <v>172</v>
      </c>
      <c r="E37" s="12" t="s">
        <v>11</v>
      </c>
      <c r="F37" s="14" t="n">
        <v>0.001</v>
      </c>
      <c r="G37" s="11"/>
    </row>
    <row r="38" customFormat="false" ht="15" hidden="false" customHeight="false" outlineLevel="0" collapsed="false">
      <c r="A38" s="11" t="n">
        <v>37</v>
      </c>
      <c r="B38" s="11" t="s">
        <v>19</v>
      </c>
      <c r="C38" s="11" t="s">
        <v>165</v>
      </c>
      <c r="D38" s="11" t="s">
        <v>173</v>
      </c>
      <c r="E38" s="12" t="s">
        <v>11</v>
      </c>
      <c r="F38" s="14" t="n">
        <v>0.001</v>
      </c>
      <c r="G38" s="11"/>
    </row>
    <row r="39" customFormat="false" ht="15" hidden="false" customHeight="false" outlineLevel="0" collapsed="false">
      <c r="A39" s="11" t="n">
        <v>38</v>
      </c>
      <c r="B39" s="11" t="s">
        <v>19</v>
      </c>
      <c r="C39" s="11" t="s">
        <v>165</v>
      </c>
      <c r="D39" s="11" t="s">
        <v>174</v>
      </c>
      <c r="E39" s="12" t="s">
        <v>11</v>
      </c>
      <c r="F39" s="14" t="n">
        <v>0.001</v>
      </c>
      <c r="G39" s="11"/>
    </row>
    <row r="40" customFormat="false" ht="15" hidden="false" customHeight="false" outlineLevel="0" collapsed="false">
      <c r="A40" s="11" t="n">
        <v>39</v>
      </c>
      <c r="B40" s="11" t="s">
        <v>19</v>
      </c>
      <c r="C40" s="11" t="s">
        <v>165</v>
      </c>
      <c r="D40" s="11" t="s">
        <v>175</v>
      </c>
      <c r="E40" s="12" t="s">
        <v>11</v>
      </c>
      <c r="F40" s="14" t="n">
        <v>0</v>
      </c>
      <c r="G40" s="11"/>
    </row>
    <row r="41" customFormat="false" ht="15" hidden="false" customHeight="false" outlineLevel="0" collapsed="false">
      <c r="A41" s="11" t="n">
        <v>40</v>
      </c>
      <c r="B41" s="11" t="s">
        <v>19</v>
      </c>
      <c r="C41" s="11" t="s">
        <v>165</v>
      </c>
      <c r="D41" s="11" t="s">
        <v>176</v>
      </c>
      <c r="E41" s="12" t="s">
        <v>11</v>
      </c>
      <c r="F41" s="14" t="n">
        <v>0</v>
      </c>
      <c r="G41" s="11"/>
    </row>
    <row r="42" customFormat="false" ht="15" hidden="false" customHeight="false" outlineLevel="0" collapsed="false">
      <c r="A42" s="11" t="n">
        <v>41</v>
      </c>
      <c r="B42" s="11" t="s">
        <v>19</v>
      </c>
      <c r="C42" s="11" t="s">
        <v>165</v>
      </c>
      <c r="D42" s="11" t="s">
        <v>177</v>
      </c>
      <c r="E42" s="12" t="s">
        <v>11</v>
      </c>
      <c r="F42" s="14" t="n">
        <v>0</v>
      </c>
      <c r="G42" s="11"/>
    </row>
    <row r="43" customFormat="false" ht="15" hidden="false" customHeight="false" outlineLevel="0" collapsed="false">
      <c r="A43" s="11" t="n">
        <v>42</v>
      </c>
      <c r="B43" s="11" t="s">
        <v>19</v>
      </c>
      <c r="C43" s="11" t="s">
        <v>165</v>
      </c>
      <c r="D43" s="11" t="s">
        <v>178</v>
      </c>
      <c r="E43" s="12" t="s">
        <v>11</v>
      </c>
      <c r="F43" s="14" t="n">
        <v>0</v>
      </c>
      <c r="G43" s="11"/>
    </row>
    <row r="44" customFormat="false" ht="15" hidden="false" customHeight="false" outlineLevel="0" collapsed="false">
      <c r="A44" s="11" t="n">
        <v>43</v>
      </c>
      <c r="B44" s="11" t="s">
        <v>19</v>
      </c>
      <c r="C44" s="11" t="s">
        <v>165</v>
      </c>
      <c r="D44" s="11" t="s">
        <v>179</v>
      </c>
      <c r="E44" s="12" t="s">
        <v>11</v>
      </c>
      <c r="F44" s="14" t="n">
        <v>0</v>
      </c>
      <c r="G44" s="11"/>
    </row>
    <row r="45" customFormat="false" ht="15" hidden="false" customHeight="false" outlineLevel="0" collapsed="false">
      <c r="A45" s="11" t="n">
        <v>44</v>
      </c>
      <c r="B45" s="11" t="s">
        <v>19</v>
      </c>
      <c r="C45" s="11" t="s">
        <v>165</v>
      </c>
      <c r="D45" s="11" t="s">
        <v>180</v>
      </c>
      <c r="E45" s="12" t="s">
        <v>11</v>
      </c>
      <c r="F45" s="14" t="n">
        <v>0</v>
      </c>
      <c r="G45" s="11"/>
    </row>
    <row r="46" customFormat="false" ht="15" hidden="false" customHeight="false" outlineLevel="0" collapsed="false">
      <c r="A46" s="11" t="n">
        <v>45</v>
      </c>
      <c r="B46" s="11" t="s">
        <v>19</v>
      </c>
      <c r="C46" s="11" t="s">
        <v>165</v>
      </c>
      <c r="D46" s="11" t="s">
        <v>181</v>
      </c>
      <c r="E46" s="12" t="s">
        <v>11</v>
      </c>
      <c r="F46" s="14" t="n">
        <v>0</v>
      </c>
      <c r="G46" s="11"/>
    </row>
    <row r="47" customFormat="false" ht="15" hidden="false" customHeight="false" outlineLevel="0" collapsed="false">
      <c r="A47" s="11" t="n">
        <v>46</v>
      </c>
      <c r="B47" s="11" t="s">
        <v>19</v>
      </c>
      <c r="C47" s="11" t="s">
        <v>165</v>
      </c>
      <c r="D47" s="11" t="s">
        <v>182</v>
      </c>
      <c r="E47" s="12" t="s">
        <v>11</v>
      </c>
      <c r="F47" s="14" t="n">
        <v>0</v>
      </c>
      <c r="G47" s="11"/>
    </row>
    <row r="48" customFormat="false" ht="15" hidden="false" customHeight="false" outlineLevel="0" collapsed="false">
      <c r="A48" s="11" t="n">
        <v>47</v>
      </c>
      <c r="B48" s="11" t="s">
        <v>19</v>
      </c>
      <c r="C48" s="11" t="s">
        <v>165</v>
      </c>
      <c r="D48" s="11" t="s">
        <v>183</v>
      </c>
      <c r="E48" s="12" t="s">
        <v>11</v>
      </c>
      <c r="F48" s="14" t="n">
        <v>0</v>
      </c>
      <c r="G48" s="11"/>
    </row>
    <row r="49" customFormat="false" ht="15" hidden="false" customHeight="false" outlineLevel="0" collapsed="false">
      <c r="A49" s="11" t="n">
        <v>48</v>
      </c>
      <c r="B49" s="11" t="s">
        <v>19</v>
      </c>
      <c r="C49" s="11" t="s">
        <v>165</v>
      </c>
      <c r="D49" s="11" t="s">
        <v>184</v>
      </c>
      <c r="E49" s="12" t="s">
        <v>11</v>
      </c>
      <c r="F49" s="14" t="n">
        <v>0</v>
      </c>
      <c r="G49" s="11"/>
    </row>
    <row r="50" customFormat="false" ht="15" hidden="false" customHeight="false" outlineLevel="0" collapsed="false">
      <c r="A50" s="11" t="n">
        <v>49</v>
      </c>
      <c r="B50" s="11" t="s">
        <v>19</v>
      </c>
      <c r="C50" s="11" t="s">
        <v>165</v>
      </c>
      <c r="D50" s="11" t="s">
        <v>185</v>
      </c>
      <c r="E50" s="12" t="s">
        <v>11</v>
      </c>
      <c r="F50" s="14" t="n">
        <v>0</v>
      </c>
      <c r="G50" s="11"/>
    </row>
    <row r="51" customFormat="false" ht="15" hidden="false" customHeight="false" outlineLevel="0" collapsed="false">
      <c r="A51" s="11" t="n">
        <v>50</v>
      </c>
      <c r="B51" s="11" t="s">
        <v>19</v>
      </c>
      <c r="C51" s="11" t="s">
        <v>165</v>
      </c>
      <c r="D51" s="11" t="s">
        <v>186</v>
      </c>
      <c r="E51" s="12" t="s">
        <v>11</v>
      </c>
      <c r="F51" s="14" t="n">
        <v>0</v>
      </c>
      <c r="G51" s="11"/>
    </row>
    <row r="52" customFormat="false" ht="15" hidden="false" customHeight="false" outlineLevel="0" collapsed="false">
      <c r="A52" s="11" t="n">
        <v>51</v>
      </c>
      <c r="B52" s="11" t="s">
        <v>19</v>
      </c>
      <c r="C52" s="11" t="s">
        <v>165</v>
      </c>
      <c r="D52" s="11" t="s">
        <v>187</v>
      </c>
      <c r="E52" s="12" t="s">
        <v>11</v>
      </c>
      <c r="F52" s="14" t="n">
        <v>0</v>
      </c>
      <c r="G52" s="11"/>
    </row>
    <row r="53" customFormat="false" ht="15" hidden="false" customHeight="false" outlineLevel="0" collapsed="false">
      <c r="A53" s="11" t="n">
        <v>52</v>
      </c>
      <c r="B53" s="11" t="s">
        <v>19</v>
      </c>
      <c r="C53" s="11" t="s">
        <v>165</v>
      </c>
      <c r="D53" s="11" t="s">
        <v>188</v>
      </c>
      <c r="E53" s="12" t="s">
        <v>11</v>
      </c>
      <c r="F53" s="14" t="n">
        <v>0</v>
      </c>
      <c r="G53" s="11"/>
    </row>
    <row r="54" customFormat="false" ht="15" hidden="false" customHeight="false" outlineLevel="0" collapsed="false">
      <c r="A54" s="11" t="n">
        <v>53</v>
      </c>
      <c r="B54" s="11" t="s">
        <v>19</v>
      </c>
      <c r="C54" s="11" t="s">
        <v>165</v>
      </c>
      <c r="D54" s="11" t="s">
        <v>189</v>
      </c>
      <c r="E54" s="12" t="s">
        <v>11</v>
      </c>
      <c r="F54" s="14" t="n">
        <v>0</v>
      </c>
      <c r="G54" s="11"/>
    </row>
    <row r="55" customFormat="false" ht="15" hidden="false" customHeight="false" outlineLevel="0" collapsed="false">
      <c r="A55" s="11" t="n">
        <v>54</v>
      </c>
      <c r="B55" s="11" t="s">
        <v>19</v>
      </c>
      <c r="C55" s="11" t="s">
        <v>165</v>
      </c>
      <c r="D55" s="11" t="s">
        <v>190</v>
      </c>
      <c r="E55" s="12" t="s">
        <v>11</v>
      </c>
      <c r="F55" s="14" t="n">
        <v>0</v>
      </c>
      <c r="G55" s="11"/>
    </row>
    <row r="56" customFormat="false" ht="15" hidden="false" customHeight="false" outlineLevel="0" collapsed="false">
      <c r="A56" s="11" t="n">
        <v>55</v>
      </c>
      <c r="B56" s="11" t="s">
        <v>19</v>
      </c>
      <c r="C56" s="11" t="s">
        <v>165</v>
      </c>
      <c r="D56" s="11" t="s">
        <v>191</v>
      </c>
      <c r="E56" s="12" t="s">
        <v>11</v>
      </c>
      <c r="F56" s="14" t="n">
        <v>0</v>
      </c>
      <c r="G56" s="11"/>
    </row>
    <row r="57" customFormat="false" ht="15" hidden="false" customHeight="false" outlineLevel="0" collapsed="false">
      <c r="A57" s="11" t="n">
        <v>56</v>
      </c>
      <c r="B57" s="11" t="s">
        <v>19</v>
      </c>
      <c r="C57" s="11" t="s">
        <v>165</v>
      </c>
      <c r="D57" s="11" t="s">
        <v>192</v>
      </c>
      <c r="E57" s="12" t="s">
        <v>11</v>
      </c>
      <c r="F57" s="14" t="n">
        <v>0.001</v>
      </c>
      <c r="G57" s="11"/>
    </row>
    <row r="58" customFormat="false" ht="15" hidden="false" customHeight="false" outlineLevel="0" collapsed="false">
      <c r="A58" s="11" t="n">
        <v>57</v>
      </c>
      <c r="B58" s="11" t="s">
        <v>19</v>
      </c>
      <c r="C58" s="11" t="s">
        <v>165</v>
      </c>
      <c r="D58" s="11" t="s">
        <v>193</v>
      </c>
      <c r="E58" s="12" t="s">
        <v>11</v>
      </c>
      <c r="F58" s="14" t="n">
        <v>0</v>
      </c>
      <c r="G58" s="11"/>
    </row>
    <row r="59" customFormat="false" ht="15" hidden="false" customHeight="false" outlineLevel="0" collapsed="false">
      <c r="A59" s="11" t="n">
        <v>58</v>
      </c>
      <c r="B59" s="11" t="s">
        <v>19</v>
      </c>
      <c r="C59" s="11" t="s">
        <v>165</v>
      </c>
      <c r="D59" s="11" t="s">
        <v>194</v>
      </c>
      <c r="E59" s="12" t="s">
        <v>11</v>
      </c>
      <c r="F59" s="14" t="n">
        <v>0</v>
      </c>
      <c r="G59" s="11"/>
    </row>
    <row r="60" customFormat="false" ht="15" hidden="false" customHeight="false" outlineLevel="0" collapsed="false">
      <c r="A60" s="11" t="n">
        <v>59</v>
      </c>
      <c r="B60" s="11" t="s">
        <v>19</v>
      </c>
      <c r="C60" s="11" t="s">
        <v>165</v>
      </c>
      <c r="D60" s="11" t="s">
        <v>195</v>
      </c>
      <c r="E60" s="12" t="s">
        <v>11</v>
      </c>
      <c r="F60" s="14" t="n">
        <v>0</v>
      </c>
      <c r="G60" s="11"/>
    </row>
    <row r="61" customFormat="false" ht="15" hidden="false" customHeight="false" outlineLevel="0" collapsed="false">
      <c r="A61" s="11" t="n">
        <v>60</v>
      </c>
      <c r="B61" s="11" t="s">
        <v>19</v>
      </c>
      <c r="C61" s="11" t="s">
        <v>165</v>
      </c>
      <c r="D61" s="11" t="s">
        <v>196</v>
      </c>
      <c r="E61" s="12" t="s">
        <v>11</v>
      </c>
      <c r="F61" s="14" t="n">
        <v>0</v>
      </c>
      <c r="G61" s="11"/>
    </row>
    <row r="62" customFormat="false" ht="15" hidden="false" customHeight="false" outlineLevel="0" collapsed="false">
      <c r="A62" s="11" t="n">
        <v>61</v>
      </c>
      <c r="B62" s="11" t="s">
        <v>19</v>
      </c>
      <c r="C62" s="11" t="s">
        <v>165</v>
      </c>
      <c r="D62" s="11" t="s">
        <v>197</v>
      </c>
      <c r="E62" s="12" t="s">
        <v>11</v>
      </c>
      <c r="F62" s="14" t="n">
        <v>0</v>
      </c>
      <c r="G62" s="11"/>
    </row>
    <row r="63" customFormat="false" ht="15" hidden="false" customHeight="false" outlineLevel="0" collapsed="false">
      <c r="A63" s="11" t="n">
        <v>62</v>
      </c>
      <c r="B63" s="11" t="s">
        <v>19</v>
      </c>
      <c r="C63" s="11" t="s">
        <v>165</v>
      </c>
      <c r="D63" s="11" t="s">
        <v>198</v>
      </c>
      <c r="E63" s="12" t="s">
        <v>11</v>
      </c>
      <c r="F63" s="14" t="n">
        <v>0</v>
      </c>
      <c r="G63" s="11"/>
    </row>
    <row r="64" customFormat="false" ht="15" hidden="false" customHeight="false" outlineLevel="0" collapsed="false">
      <c r="A64" s="11" t="n">
        <v>63</v>
      </c>
      <c r="B64" s="11" t="s">
        <v>19</v>
      </c>
      <c r="C64" s="11" t="s">
        <v>165</v>
      </c>
      <c r="D64" s="11" t="s">
        <v>199</v>
      </c>
      <c r="E64" s="12" t="s">
        <v>11</v>
      </c>
      <c r="F64" s="14" t="n">
        <v>0</v>
      </c>
      <c r="G64" s="11"/>
    </row>
    <row r="65" customFormat="false" ht="15" hidden="false" customHeight="false" outlineLevel="0" collapsed="false">
      <c r="A65" s="11" t="n">
        <v>64</v>
      </c>
      <c r="B65" s="11" t="s">
        <v>19</v>
      </c>
      <c r="C65" s="11" t="s">
        <v>165</v>
      </c>
      <c r="D65" s="11" t="s">
        <v>200</v>
      </c>
      <c r="E65" s="12" t="s">
        <v>11</v>
      </c>
      <c r="F65" s="14" t="n">
        <v>0</v>
      </c>
      <c r="G65" s="11"/>
    </row>
    <row r="66" customFormat="false" ht="15" hidden="false" customHeight="false" outlineLevel="0" collapsed="false">
      <c r="A66" s="11" t="n">
        <v>65</v>
      </c>
      <c r="B66" s="11" t="s">
        <v>19</v>
      </c>
      <c r="C66" s="11" t="s">
        <v>165</v>
      </c>
      <c r="D66" s="11" t="s">
        <v>201</v>
      </c>
      <c r="E66" s="12" t="s">
        <v>11</v>
      </c>
      <c r="F66" s="14" t="n">
        <v>0.001</v>
      </c>
      <c r="G66" s="11"/>
    </row>
    <row r="67" customFormat="false" ht="15" hidden="false" customHeight="false" outlineLevel="0" collapsed="false">
      <c r="A67" s="11" t="n">
        <v>66</v>
      </c>
      <c r="B67" s="11" t="s">
        <v>19</v>
      </c>
      <c r="C67" s="11" t="s">
        <v>165</v>
      </c>
      <c r="D67" s="11" t="s">
        <v>202</v>
      </c>
      <c r="E67" s="12" t="s">
        <v>11</v>
      </c>
      <c r="F67" s="14" t="n">
        <v>0</v>
      </c>
      <c r="G67" s="11"/>
    </row>
    <row r="68" customFormat="false" ht="15" hidden="false" customHeight="false" outlineLevel="0" collapsed="false">
      <c r="A68" s="11" t="n">
        <v>67</v>
      </c>
      <c r="B68" s="11" t="s">
        <v>19</v>
      </c>
      <c r="C68" s="11" t="s">
        <v>165</v>
      </c>
      <c r="D68" s="11" t="s">
        <v>203</v>
      </c>
      <c r="E68" s="12" t="s">
        <v>11</v>
      </c>
      <c r="F68" s="14" t="n">
        <v>0</v>
      </c>
      <c r="G68" s="11"/>
    </row>
    <row r="69" customFormat="false" ht="15" hidden="false" customHeight="false" outlineLevel="0" collapsed="false">
      <c r="A69" s="11" t="n">
        <v>68</v>
      </c>
      <c r="B69" s="11" t="s">
        <v>19</v>
      </c>
      <c r="C69" s="11" t="s">
        <v>165</v>
      </c>
      <c r="D69" s="11" t="s">
        <v>204</v>
      </c>
      <c r="E69" s="12" t="s">
        <v>11</v>
      </c>
      <c r="F69" s="14" t="n">
        <v>0</v>
      </c>
      <c r="G69" s="11"/>
    </row>
    <row r="70" customFormat="false" ht="15" hidden="false" customHeight="false" outlineLevel="0" collapsed="false">
      <c r="A70" s="11" t="n">
        <v>69</v>
      </c>
      <c r="B70" s="11" t="s">
        <v>19</v>
      </c>
      <c r="C70" s="11" t="s">
        <v>165</v>
      </c>
      <c r="D70" s="11" t="s">
        <v>205</v>
      </c>
      <c r="E70" s="12" t="s">
        <v>11</v>
      </c>
      <c r="F70" s="14" t="n">
        <v>0</v>
      </c>
      <c r="G70" s="11"/>
    </row>
    <row r="71" customFormat="false" ht="15" hidden="false" customHeight="false" outlineLevel="0" collapsed="false">
      <c r="A71" s="11" t="n">
        <v>70</v>
      </c>
      <c r="B71" s="11" t="s">
        <v>19</v>
      </c>
      <c r="C71" s="11" t="s">
        <v>165</v>
      </c>
      <c r="D71" s="11" t="s">
        <v>206</v>
      </c>
      <c r="E71" s="12" t="s">
        <v>11</v>
      </c>
      <c r="F71" s="14" t="n">
        <v>0</v>
      </c>
      <c r="G71" s="11"/>
    </row>
    <row r="72" customFormat="false" ht="15" hidden="false" customHeight="false" outlineLevel="0" collapsed="false">
      <c r="A72" s="11" t="n">
        <v>71</v>
      </c>
      <c r="B72" s="11" t="s">
        <v>19</v>
      </c>
      <c r="C72" s="11" t="s">
        <v>165</v>
      </c>
      <c r="D72" s="11" t="s">
        <v>207</v>
      </c>
      <c r="E72" s="12" t="s">
        <v>11</v>
      </c>
      <c r="F72" s="14" t="n">
        <v>0</v>
      </c>
      <c r="G72" s="11"/>
    </row>
    <row r="73" customFormat="false" ht="15" hidden="false" customHeight="false" outlineLevel="0" collapsed="false">
      <c r="A73" s="11" t="n">
        <v>72</v>
      </c>
      <c r="B73" s="11" t="s">
        <v>19</v>
      </c>
      <c r="C73" s="11" t="s">
        <v>165</v>
      </c>
      <c r="D73" s="11" t="s">
        <v>208</v>
      </c>
      <c r="E73" s="12" t="s">
        <v>11</v>
      </c>
      <c r="F73" s="14" t="n">
        <v>0</v>
      </c>
      <c r="G73" s="11"/>
    </row>
    <row r="74" customFormat="false" ht="15" hidden="false" customHeight="false" outlineLevel="0" collapsed="false">
      <c r="A74" s="11" t="n">
        <v>73</v>
      </c>
      <c r="B74" s="11" t="s">
        <v>19</v>
      </c>
      <c r="C74" s="11" t="s">
        <v>165</v>
      </c>
      <c r="D74" s="11" t="s">
        <v>209</v>
      </c>
      <c r="E74" s="12" t="s">
        <v>11</v>
      </c>
      <c r="F74" s="14" t="n">
        <v>0</v>
      </c>
      <c r="G74" s="11"/>
    </row>
    <row r="75" customFormat="false" ht="15" hidden="false" customHeight="false" outlineLevel="0" collapsed="false">
      <c r="A75" s="11" t="n">
        <v>74</v>
      </c>
      <c r="B75" s="11" t="s">
        <v>19</v>
      </c>
      <c r="C75" s="11" t="s">
        <v>165</v>
      </c>
      <c r="D75" s="11" t="s">
        <v>210</v>
      </c>
      <c r="E75" s="12" t="s">
        <v>11</v>
      </c>
      <c r="F75" s="14" t="n">
        <v>0</v>
      </c>
      <c r="G75" s="11"/>
    </row>
    <row r="76" customFormat="false" ht="15" hidden="false" customHeight="false" outlineLevel="0" collapsed="false">
      <c r="A76" s="11" t="n">
        <v>75</v>
      </c>
      <c r="B76" s="11" t="s">
        <v>19</v>
      </c>
      <c r="C76" s="11" t="s">
        <v>165</v>
      </c>
      <c r="D76" s="11" t="s">
        <v>211</v>
      </c>
      <c r="E76" s="12" t="s">
        <v>11</v>
      </c>
      <c r="F76" s="14" t="n">
        <v>0</v>
      </c>
      <c r="G76" s="11"/>
    </row>
    <row r="77" customFormat="false" ht="15" hidden="false" customHeight="false" outlineLevel="0" collapsed="false">
      <c r="A77" s="11" t="n">
        <v>76</v>
      </c>
      <c r="B77" s="11" t="s">
        <v>19</v>
      </c>
      <c r="C77" s="11" t="s">
        <v>165</v>
      </c>
      <c r="D77" s="11" t="s">
        <v>212</v>
      </c>
      <c r="E77" s="12" t="s">
        <v>11</v>
      </c>
      <c r="F77" s="14" t="n">
        <v>0</v>
      </c>
      <c r="G77" s="11"/>
    </row>
    <row r="78" customFormat="false" ht="15" hidden="false" customHeight="false" outlineLevel="0" collapsed="false">
      <c r="A78" s="11" t="n">
        <v>77</v>
      </c>
      <c r="B78" s="11" t="s">
        <v>19</v>
      </c>
      <c r="C78" s="11" t="s">
        <v>165</v>
      </c>
      <c r="D78" s="11" t="s">
        <v>213</v>
      </c>
      <c r="E78" s="12" t="s">
        <v>11</v>
      </c>
      <c r="F78" s="14" t="n">
        <v>0</v>
      </c>
      <c r="G78" s="11"/>
    </row>
    <row r="79" customFormat="false" ht="15" hidden="false" customHeight="false" outlineLevel="0" collapsed="false">
      <c r="A79" s="11" t="n">
        <v>78</v>
      </c>
      <c r="B79" s="11" t="s">
        <v>19</v>
      </c>
      <c r="C79" s="11" t="s">
        <v>165</v>
      </c>
      <c r="D79" s="11" t="s">
        <v>214</v>
      </c>
      <c r="E79" s="12" t="s">
        <v>11</v>
      </c>
      <c r="F79" s="14" t="n">
        <v>0</v>
      </c>
      <c r="G79" s="11"/>
    </row>
    <row r="80" customFormat="false" ht="15" hidden="false" customHeight="false" outlineLevel="0" collapsed="false">
      <c r="A80" s="11" t="n">
        <v>79</v>
      </c>
      <c r="B80" s="11" t="s">
        <v>19</v>
      </c>
      <c r="C80" s="11" t="s">
        <v>165</v>
      </c>
      <c r="D80" s="11" t="s">
        <v>215</v>
      </c>
      <c r="E80" s="12" t="s">
        <v>11</v>
      </c>
      <c r="F80" s="14" t="n">
        <v>0</v>
      </c>
      <c r="G80" s="11"/>
    </row>
    <row r="81" customFormat="false" ht="15" hidden="false" customHeight="false" outlineLevel="0" collapsed="false">
      <c r="A81" s="11" t="n">
        <v>80</v>
      </c>
      <c r="B81" s="11" t="s">
        <v>19</v>
      </c>
      <c r="C81" s="11" t="s">
        <v>165</v>
      </c>
      <c r="D81" s="11" t="s">
        <v>216</v>
      </c>
      <c r="E81" s="12" t="s">
        <v>11</v>
      </c>
      <c r="F81" s="14" t="n">
        <v>0.001</v>
      </c>
      <c r="G81" s="11"/>
    </row>
    <row r="82" customFormat="false" ht="15" hidden="false" customHeight="false" outlineLevel="0" collapsed="false">
      <c r="A82" s="11" t="n">
        <v>81</v>
      </c>
      <c r="B82" s="11" t="s">
        <v>19</v>
      </c>
      <c r="C82" s="11" t="s">
        <v>165</v>
      </c>
      <c r="D82" s="11" t="s">
        <v>217</v>
      </c>
      <c r="E82" s="12" t="s">
        <v>11</v>
      </c>
      <c r="F82" s="14" t="n">
        <v>0</v>
      </c>
      <c r="G82" s="11"/>
    </row>
    <row r="83" customFormat="false" ht="15" hidden="false" customHeight="false" outlineLevel="0" collapsed="false">
      <c r="A83" s="11" t="n">
        <v>82</v>
      </c>
      <c r="B83" s="11" t="s">
        <v>19</v>
      </c>
      <c r="C83" s="11" t="s">
        <v>165</v>
      </c>
      <c r="D83" s="11" t="s">
        <v>218</v>
      </c>
      <c r="E83" s="12" t="s">
        <v>11</v>
      </c>
      <c r="F83" s="14" t="n">
        <v>0</v>
      </c>
      <c r="G83" s="11"/>
    </row>
    <row r="84" customFormat="false" ht="15" hidden="false" customHeight="false" outlineLevel="0" collapsed="false">
      <c r="A84" s="11" t="n">
        <v>83</v>
      </c>
      <c r="B84" s="11" t="s">
        <v>19</v>
      </c>
      <c r="C84" s="11" t="s">
        <v>165</v>
      </c>
      <c r="D84" s="11" t="s">
        <v>219</v>
      </c>
      <c r="E84" s="12" t="s">
        <v>11</v>
      </c>
      <c r="F84" s="14" t="n">
        <v>0.253</v>
      </c>
      <c r="G84" s="11"/>
    </row>
    <row r="85" customFormat="false" ht="15" hidden="false" customHeight="false" outlineLevel="0" collapsed="false">
      <c r="A85" s="11" t="n">
        <v>84</v>
      </c>
      <c r="B85" s="11" t="s">
        <v>19</v>
      </c>
      <c r="C85" s="11" t="s">
        <v>165</v>
      </c>
      <c r="D85" s="11" t="s">
        <v>220</v>
      </c>
      <c r="E85" s="12" t="s">
        <v>11</v>
      </c>
      <c r="F85" s="14" t="n">
        <v>0.242</v>
      </c>
      <c r="G85" s="11"/>
    </row>
    <row r="86" customFormat="false" ht="15" hidden="false" customHeight="false" outlineLevel="0" collapsed="false">
      <c r="A86" s="11" t="n">
        <v>85</v>
      </c>
      <c r="B86" s="11" t="s">
        <v>19</v>
      </c>
      <c r="C86" s="11" t="s">
        <v>165</v>
      </c>
      <c r="D86" s="11" t="s">
        <v>221</v>
      </c>
      <c r="E86" s="12" t="s">
        <v>11</v>
      </c>
      <c r="F86" s="14" t="n">
        <v>0.242</v>
      </c>
      <c r="G86" s="11"/>
    </row>
    <row r="87" customFormat="false" ht="15" hidden="false" customHeight="false" outlineLevel="0" collapsed="false">
      <c r="A87" s="11" t="n">
        <v>86</v>
      </c>
      <c r="B87" s="11" t="s">
        <v>19</v>
      </c>
      <c r="C87" s="11" t="s">
        <v>165</v>
      </c>
      <c r="D87" s="11" t="s">
        <v>222</v>
      </c>
      <c r="E87" s="12" t="s">
        <v>11</v>
      </c>
      <c r="F87" s="14" t="n">
        <v>0.243</v>
      </c>
      <c r="G87" s="11"/>
    </row>
    <row r="88" customFormat="false" ht="15" hidden="false" customHeight="false" outlineLevel="0" collapsed="false">
      <c r="A88" s="11" t="n">
        <v>87</v>
      </c>
      <c r="B88" s="11" t="s">
        <v>19</v>
      </c>
      <c r="C88" s="11" t="s">
        <v>165</v>
      </c>
      <c r="D88" s="11" t="s">
        <v>223</v>
      </c>
      <c r="E88" s="12" t="s">
        <v>11</v>
      </c>
      <c r="F88" s="14" t="n">
        <v>0.268</v>
      </c>
      <c r="G88" s="11"/>
    </row>
    <row r="89" customFormat="false" ht="15" hidden="false" customHeight="false" outlineLevel="0" collapsed="false">
      <c r="A89" s="11" t="n">
        <v>88</v>
      </c>
      <c r="B89" s="11" t="s">
        <v>19</v>
      </c>
      <c r="C89" s="11" t="s">
        <v>165</v>
      </c>
      <c r="D89" s="11" t="s">
        <v>224</v>
      </c>
      <c r="E89" s="12" t="s">
        <v>11</v>
      </c>
      <c r="F89" s="14" t="n">
        <v>0.264</v>
      </c>
      <c r="G89" s="11"/>
    </row>
    <row r="90" customFormat="false" ht="15" hidden="false" customHeight="false" outlineLevel="0" collapsed="false">
      <c r="A90" s="11" t="n">
        <v>89</v>
      </c>
      <c r="B90" s="11" t="s">
        <v>19</v>
      </c>
      <c r="C90" s="11" t="s">
        <v>165</v>
      </c>
      <c r="D90" s="11" t="s">
        <v>225</v>
      </c>
      <c r="E90" s="12" t="s">
        <v>11</v>
      </c>
      <c r="F90" s="14" t="n">
        <v>0.25</v>
      </c>
      <c r="G90" s="11"/>
    </row>
    <row r="91" customFormat="false" ht="15" hidden="false" customHeight="false" outlineLevel="0" collapsed="false">
      <c r="A91" s="11" t="n">
        <v>90</v>
      </c>
      <c r="B91" s="11" t="s">
        <v>19</v>
      </c>
      <c r="C91" s="11" t="s">
        <v>165</v>
      </c>
      <c r="D91" s="11" t="s">
        <v>226</v>
      </c>
      <c r="E91" s="12" t="s">
        <v>11</v>
      </c>
      <c r="F91" s="14" t="n">
        <v>0.247</v>
      </c>
      <c r="G91" s="11"/>
    </row>
    <row r="92" customFormat="false" ht="15" hidden="false" customHeight="false" outlineLevel="0" collapsed="false">
      <c r="A92" s="11" t="n">
        <v>91</v>
      </c>
      <c r="B92" s="11" t="s">
        <v>19</v>
      </c>
      <c r="C92" s="11" t="s">
        <v>165</v>
      </c>
      <c r="D92" s="11" t="s">
        <v>227</v>
      </c>
      <c r="E92" s="12" t="s">
        <v>11</v>
      </c>
      <c r="F92" s="14" t="n">
        <v>0.247</v>
      </c>
      <c r="G92" s="11"/>
    </row>
    <row r="93" customFormat="false" ht="15" hidden="false" customHeight="false" outlineLevel="0" collapsed="false">
      <c r="A93" s="11" t="n">
        <v>92</v>
      </c>
      <c r="B93" s="11" t="s">
        <v>19</v>
      </c>
      <c r="C93" s="11" t="s">
        <v>165</v>
      </c>
      <c r="D93" s="11" t="s">
        <v>228</v>
      </c>
      <c r="E93" s="12" t="s">
        <v>11</v>
      </c>
      <c r="F93" s="14" t="n">
        <v>0.255</v>
      </c>
      <c r="G93" s="11"/>
    </row>
    <row r="94" customFormat="false" ht="15" hidden="false" customHeight="false" outlineLevel="0" collapsed="false">
      <c r="A94" s="11" t="n">
        <v>93</v>
      </c>
      <c r="B94" s="11" t="s">
        <v>19</v>
      </c>
      <c r="C94" s="11" t="s">
        <v>165</v>
      </c>
      <c r="D94" s="11" t="s">
        <v>229</v>
      </c>
      <c r="E94" s="12" t="s">
        <v>11</v>
      </c>
      <c r="F94" s="14" t="n">
        <v>0.26</v>
      </c>
      <c r="G94" s="11"/>
    </row>
    <row r="95" customFormat="false" ht="15" hidden="false" customHeight="false" outlineLevel="0" collapsed="false">
      <c r="A95" s="11" t="n">
        <v>94</v>
      </c>
      <c r="B95" s="11" t="s">
        <v>19</v>
      </c>
      <c r="C95" s="11" t="s">
        <v>165</v>
      </c>
      <c r="D95" s="11" t="s">
        <v>230</v>
      </c>
      <c r="E95" s="12" t="s">
        <v>11</v>
      </c>
      <c r="F95" s="14" t="n">
        <v>0.3</v>
      </c>
      <c r="G95" s="11"/>
    </row>
    <row r="96" customFormat="false" ht="15" hidden="false" customHeight="false" outlineLevel="0" collapsed="false">
      <c r="A96" s="11" t="n">
        <v>95</v>
      </c>
      <c r="B96" s="11" t="s">
        <v>19</v>
      </c>
      <c r="C96" s="11" t="s">
        <v>165</v>
      </c>
      <c r="D96" s="11" t="s">
        <v>231</v>
      </c>
      <c r="E96" s="12" t="s">
        <v>11</v>
      </c>
      <c r="F96" s="14" t="n">
        <v>0.314</v>
      </c>
      <c r="G96" s="11"/>
    </row>
    <row r="97" customFormat="false" ht="15" hidden="false" customHeight="false" outlineLevel="0" collapsed="false">
      <c r="A97" s="11" t="n">
        <v>96</v>
      </c>
      <c r="B97" s="11" t="s">
        <v>19</v>
      </c>
      <c r="C97" s="11" t="s">
        <v>165</v>
      </c>
      <c r="D97" s="11" t="s">
        <v>232</v>
      </c>
      <c r="E97" s="12" t="s">
        <v>11</v>
      </c>
      <c r="F97" s="14" t="n">
        <v>0.249</v>
      </c>
      <c r="G97" s="11"/>
    </row>
    <row r="98" customFormat="false" ht="15" hidden="false" customHeight="false" outlineLevel="0" collapsed="false">
      <c r="A98" s="11" t="n">
        <v>97</v>
      </c>
      <c r="B98" s="11" t="s">
        <v>19</v>
      </c>
      <c r="C98" s="11" t="s">
        <v>165</v>
      </c>
      <c r="D98" s="11" t="s">
        <v>233</v>
      </c>
      <c r="E98" s="12" t="s">
        <v>11</v>
      </c>
      <c r="F98" s="14" t="n">
        <v>0.314</v>
      </c>
      <c r="G98" s="11"/>
    </row>
    <row r="99" customFormat="false" ht="15" hidden="false" customHeight="false" outlineLevel="0" collapsed="false">
      <c r="A99" s="11" t="n">
        <v>98</v>
      </c>
      <c r="B99" s="11" t="s">
        <v>19</v>
      </c>
      <c r="C99" s="11" t="s">
        <v>165</v>
      </c>
      <c r="D99" s="11" t="s">
        <v>234</v>
      </c>
      <c r="E99" s="12" t="s">
        <v>11</v>
      </c>
      <c r="F99" s="14" t="n">
        <v>0.271</v>
      </c>
      <c r="G99" s="11"/>
    </row>
    <row r="100" customFormat="false" ht="15" hidden="false" customHeight="false" outlineLevel="0" collapsed="false">
      <c r="A100" s="11" t="n">
        <v>99</v>
      </c>
      <c r="B100" s="11" t="s">
        <v>19</v>
      </c>
      <c r="C100" s="11" t="s">
        <v>165</v>
      </c>
      <c r="D100" s="11" t="s">
        <v>235</v>
      </c>
      <c r="E100" s="12" t="s">
        <v>11</v>
      </c>
      <c r="F100" s="14" t="n">
        <v>0.24</v>
      </c>
      <c r="G100" s="11"/>
    </row>
    <row r="101" customFormat="false" ht="15" hidden="false" customHeight="false" outlineLevel="0" collapsed="false">
      <c r="A101" s="11" t="n">
        <v>100</v>
      </c>
      <c r="B101" s="11" t="s">
        <v>19</v>
      </c>
      <c r="C101" s="11" t="s">
        <v>165</v>
      </c>
      <c r="D101" s="11" t="s">
        <v>236</v>
      </c>
      <c r="E101" s="12" t="s">
        <v>11</v>
      </c>
      <c r="F101" s="14" t="n">
        <v>0.255</v>
      </c>
      <c r="G101" s="11"/>
    </row>
    <row r="102" customFormat="false" ht="15" hidden="false" customHeight="false" outlineLevel="0" collapsed="false">
      <c r="A102" s="11" t="n">
        <v>101</v>
      </c>
      <c r="B102" s="11" t="s">
        <v>19</v>
      </c>
      <c r="C102" s="11" t="s">
        <v>165</v>
      </c>
      <c r="D102" s="11" t="s">
        <v>237</v>
      </c>
      <c r="E102" s="12" t="s">
        <v>11</v>
      </c>
      <c r="F102" s="14" t="n">
        <v>0.25</v>
      </c>
      <c r="G102" s="11"/>
    </row>
    <row r="103" customFormat="false" ht="15" hidden="false" customHeight="false" outlineLevel="0" collapsed="false">
      <c r="A103" s="11" t="n">
        <v>102</v>
      </c>
      <c r="B103" s="11" t="s">
        <v>19</v>
      </c>
      <c r="C103" s="11" t="s">
        <v>165</v>
      </c>
      <c r="D103" s="11" t="s">
        <v>238</v>
      </c>
      <c r="E103" s="12" t="s">
        <v>11</v>
      </c>
      <c r="F103" s="14" t="n">
        <v>0.251</v>
      </c>
      <c r="G103" s="11"/>
    </row>
    <row r="104" customFormat="false" ht="15" hidden="false" customHeight="false" outlineLevel="0" collapsed="false">
      <c r="A104" s="11" t="n">
        <v>103</v>
      </c>
      <c r="B104" s="11" t="s">
        <v>19</v>
      </c>
      <c r="C104" s="11" t="s">
        <v>165</v>
      </c>
      <c r="D104" s="11" t="s">
        <v>239</v>
      </c>
      <c r="E104" s="12" t="s">
        <v>11</v>
      </c>
      <c r="F104" s="14" t="n">
        <v>0.246</v>
      </c>
      <c r="G104" s="11"/>
    </row>
    <row r="105" customFormat="false" ht="15" hidden="false" customHeight="false" outlineLevel="0" collapsed="false">
      <c r="A105" s="11" t="n">
        <v>104</v>
      </c>
      <c r="B105" s="11" t="s">
        <v>19</v>
      </c>
      <c r="C105" s="11" t="s">
        <v>165</v>
      </c>
      <c r="D105" s="11" t="s">
        <v>240</v>
      </c>
      <c r="E105" s="12" t="s">
        <v>11</v>
      </c>
      <c r="F105" s="14" t="n">
        <v>0.263</v>
      </c>
      <c r="G105" s="11"/>
    </row>
    <row r="106" customFormat="false" ht="15" hidden="false" customHeight="false" outlineLevel="0" collapsed="false">
      <c r="A106" s="11" t="n">
        <v>105</v>
      </c>
      <c r="B106" s="11" t="s">
        <v>19</v>
      </c>
      <c r="C106" s="11" t="s">
        <v>165</v>
      </c>
      <c r="D106" s="11" t="s">
        <v>241</v>
      </c>
      <c r="E106" s="12" t="s">
        <v>11</v>
      </c>
      <c r="F106" s="14" t="n">
        <v>0.267</v>
      </c>
      <c r="G106" s="11"/>
    </row>
    <row r="107" customFormat="false" ht="15" hidden="false" customHeight="false" outlineLevel="0" collapsed="false">
      <c r="A107" s="11" t="n">
        <v>106</v>
      </c>
      <c r="B107" s="11" t="s">
        <v>19</v>
      </c>
      <c r="C107" s="11" t="s">
        <v>165</v>
      </c>
      <c r="D107" s="11" t="s">
        <v>242</v>
      </c>
      <c r="E107" s="12" t="s">
        <v>11</v>
      </c>
      <c r="F107" s="14" t="n">
        <v>0.371</v>
      </c>
      <c r="G107" s="11"/>
    </row>
    <row r="108" customFormat="false" ht="15" hidden="false" customHeight="false" outlineLevel="0" collapsed="false">
      <c r="A108" s="11" t="n">
        <v>107</v>
      </c>
      <c r="B108" s="11" t="s">
        <v>19</v>
      </c>
      <c r="C108" s="11" t="s">
        <v>165</v>
      </c>
      <c r="D108" s="11" t="s">
        <v>243</v>
      </c>
      <c r="E108" s="12" t="s">
        <v>11</v>
      </c>
      <c r="F108" s="14" t="n">
        <v>0.256</v>
      </c>
      <c r="G108" s="11"/>
    </row>
    <row r="109" customFormat="false" ht="15" hidden="false" customHeight="false" outlineLevel="0" collapsed="false">
      <c r="A109" s="11" t="n">
        <v>108</v>
      </c>
      <c r="B109" s="11" t="s">
        <v>20</v>
      </c>
      <c r="C109" s="11" t="s">
        <v>244</v>
      </c>
      <c r="D109" s="11" t="s">
        <v>245</v>
      </c>
      <c r="E109" s="12" t="s">
        <v>11</v>
      </c>
      <c r="F109" s="14" t="n">
        <v>0.103</v>
      </c>
      <c r="G109" s="11"/>
    </row>
    <row r="110" customFormat="false" ht="15" hidden="false" customHeight="false" outlineLevel="0" collapsed="false">
      <c r="A110" s="11" t="n">
        <v>109</v>
      </c>
      <c r="B110" s="11" t="s">
        <v>20</v>
      </c>
      <c r="C110" s="11" t="s">
        <v>244</v>
      </c>
      <c r="D110" s="11" t="s">
        <v>246</v>
      </c>
      <c r="E110" s="12" t="s">
        <v>11</v>
      </c>
      <c r="F110" s="14" t="n">
        <v>0.188</v>
      </c>
      <c r="G110" s="11"/>
    </row>
    <row r="111" customFormat="false" ht="15" hidden="false" customHeight="false" outlineLevel="0" collapsed="false">
      <c r="A111" s="11" t="n">
        <v>110</v>
      </c>
      <c r="B111" s="11" t="s">
        <v>20</v>
      </c>
      <c r="C111" s="11" t="s">
        <v>244</v>
      </c>
      <c r="D111" s="11" t="s">
        <v>247</v>
      </c>
      <c r="E111" s="12" t="s">
        <v>11</v>
      </c>
      <c r="F111" s="14" t="n">
        <v>0.183</v>
      </c>
      <c r="G111" s="11"/>
    </row>
    <row r="112" customFormat="false" ht="15" hidden="false" customHeight="false" outlineLevel="0" collapsed="false">
      <c r="A112" s="11" t="n">
        <v>111</v>
      </c>
      <c r="B112" s="11" t="s">
        <v>20</v>
      </c>
      <c r="C112" s="11" t="s">
        <v>244</v>
      </c>
      <c r="D112" s="11" t="s">
        <v>248</v>
      </c>
      <c r="E112" s="12" t="s">
        <v>11</v>
      </c>
      <c r="F112" s="14" t="n">
        <v>0.157</v>
      </c>
      <c r="G112" s="11"/>
    </row>
    <row r="113" customFormat="false" ht="15" hidden="false" customHeight="false" outlineLevel="0" collapsed="false">
      <c r="A113" s="11" t="n">
        <v>112</v>
      </c>
      <c r="B113" s="11" t="s">
        <v>20</v>
      </c>
      <c r="C113" s="11" t="s">
        <v>244</v>
      </c>
      <c r="D113" s="11" t="s">
        <v>249</v>
      </c>
      <c r="E113" s="12" t="s">
        <v>11</v>
      </c>
      <c r="F113" s="14" t="n">
        <v>0.181</v>
      </c>
      <c r="G113" s="11"/>
    </row>
    <row r="114" customFormat="false" ht="15" hidden="false" customHeight="false" outlineLevel="0" collapsed="false">
      <c r="A114" s="11" t="n">
        <v>113</v>
      </c>
      <c r="B114" s="11" t="s">
        <v>20</v>
      </c>
      <c r="C114" s="11" t="s">
        <v>244</v>
      </c>
      <c r="D114" s="11" t="s">
        <v>250</v>
      </c>
      <c r="E114" s="12" t="s">
        <v>11</v>
      </c>
      <c r="F114" s="14" t="n">
        <v>0.17</v>
      </c>
      <c r="G114" s="11"/>
    </row>
    <row r="115" customFormat="false" ht="15" hidden="false" customHeight="false" outlineLevel="0" collapsed="false">
      <c r="A115" s="11" t="n">
        <v>114</v>
      </c>
      <c r="B115" s="11" t="s">
        <v>21</v>
      </c>
      <c r="C115" s="11" t="s">
        <v>251</v>
      </c>
      <c r="D115" s="11" t="s">
        <v>252</v>
      </c>
      <c r="E115" s="12" t="s">
        <v>11</v>
      </c>
      <c r="F115" s="14" t="n">
        <v>0.233</v>
      </c>
      <c r="G115" s="11"/>
    </row>
    <row r="116" customFormat="false" ht="15" hidden="false" customHeight="false" outlineLevel="0" collapsed="false">
      <c r="A116" s="11" t="n">
        <v>115</v>
      </c>
      <c r="B116" s="11" t="s">
        <v>21</v>
      </c>
      <c r="C116" s="11" t="s">
        <v>251</v>
      </c>
      <c r="D116" s="11" t="s">
        <v>253</v>
      </c>
      <c r="E116" s="12" t="s">
        <v>11</v>
      </c>
      <c r="F116" s="14" t="n">
        <v>0.186</v>
      </c>
      <c r="G116" s="11"/>
    </row>
    <row r="117" customFormat="false" ht="15" hidden="false" customHeight="false" outlineLevel="0" collapsed="false">
      <c r="A117" s="11" t="n">
        <v>116</v>
      </c>
      <c r="B117" s="11" t="s">
        <v>21</v>
      </c>
      <c r="C117" s="11" t="s">
        <v>251</v>
      </c>
      <c r="D117" s="11" t="s">
        <v>254</v>
      </c>
      <c r="E117" s="12" t="s">
        <v>11</v>
      </c>
      <c r="F117" s="14" t="n">
        <v>0.177</v>
      </c>
      <c r="G117" s="11"/>
    </row>
    <row r="118" customFormat="false" ht="15" hidden="false" customHeight="false" outlineLevel="0" collapsed="false">
      <c r="A118" s="11" t="n">
        <v>117</v>
      </c>
      <c r="B118" s="11" t="s">
        <v>21</v>
      </c>
      <c r="C118" s="11" t="s">
        <v>251</v>
      </c>
      <c r="D118" s="11" t="s">
        <v>255</v>
      </c>
      <c r="E118" s="12" t="s">
        <v>11</v>
      </c>
      <c r="F118" s="14" t="n">
        <v>0.25</v>
      </c>
      <c r="G118" s="11"/>
    </row>
    <row r="119" customFormat="false" ht="15" hidden="false" customHeight="false" outlineLevel="0" collapsed="false">
      <c r="A119" s="11" t="n">
        <v>118</v>
      </c>
      <c r="B119" s="11" t="s">
        <v>21</v>
      </c>
      <c r="C119" s="11" t="s">
        <v>251</v>
      </c>
      <c r="D119" s="11" t="s">
        <v>256</v>
      </c>
      <c r="E119" s="12" t="s">
        <v>11</v>
      </c>
      <c r="F119" s="14" t="n">
        <v>0.087</v>
      </c>
      <c r="G119" s="11"/>
    </row>
    <row r="120" customFormat="false" ht="15" hidden="false" customHeight="false" outlineLevel="0" collapsed="false">
      <c r="A120" s="11" t="n">
        <v>119</v>
      </c>
      <c r="B120" s="11" t="s">
        <v>21</v>
      </c>
      <c r="C120" s="11" t="s">
        <v>251</v>
      </c>
      <c r="D120" s="11" t="s">
        <v>257</v>
      </c>
      <c r="E120" s="12" t="s">
        <v>11</v>
      </c>
      <c r="F120" s="14" t="n">
        <v>0.164</v>
      </c>
      <c r="G120" s="11"/>
    </row>
    <row r="121" customFormat="false" ht="15" hidden="false" customHeight="false" outlineLevel="0" collapsed="false">
      <c r="A121" s="11" t="n">
        <v>120</v>
      </c>
      <c r="B121" s="11" t="s">
        <v>21</v>
      </c>
      <c r="C121" s="11" t="s">
        <v>251</v>
      </c>
      <c r="D121" s="11" t="s">
        <v>258</v>
      </c>
      <c r="E121" s="12" t="s">
        <v>11</v>
      </c>
      <c r="F121" s="14" t="n">
        <v>0.171</v>
      </c>
      <c r="G121" s="11"/>
    </row>
    <row r="122" customFormat="false" ht="15" hidden="false" customHeight="false" outlineLevel="0" collapsed="false">
      <c r="A122" s="11" t="n">
        <v>121</v>
      </c>
      <c r="B122" s="11" t="s">
        <v>21</v>
      </c>
      <c r="C122" s="11" t="s">
        <v>251</v>
      </c>
      <c r="D122" s="11" t="s">
        <v>259</v>
      </c>
      <c r="E122" s="12" t="s">
        <v>11</v>
      </c>
      <c r="F122" s="14" t="n">
        <v>0.084</v>
      </c>
      <c r="G122" s="11"/>
    </row>
    <row r="123" customFormat="false" ht="15" hidden="false" customHeight="false" outlineLevel="0" collapsed="false">
      <c r="A123" s="11" t="n">
        <v>122</v>
      </c>
      <c r="B123" s="11" t="s">
        <v>21</v>
      </c>
      <c r="C123" s="11" t="s">
        <v>251</v>
      </c>
      <c r="D123" s="11" t="s">
        <v>260</v>
      </c>
      <c r="E123" s="12" t="s">
        <v>11</v>
      </c>
      <c r="F123" s="14" t="n">
        <v>0.203</v>
      </c>
      <c r="G123" s="11"/>
    </row>
    <row r="124" customFormat="false" ht="15" hidden="false" customHeight="false" outlineLevel="0" collapsed="false">
      <c r="A124" s="11" t="n">
        <v>123</v>
      </c>
      <c r="B124" s="11" t="s">
        <v>22</v>
      </c>
      <c r="C124" s="11" t="s">
        <v>261</v>
      </c>
      <c r="D124" s="11" t="s">
        <v>262</v>
      </c>
      <c r="E124" s="12" t="s">
        <v>11</v>
      </c>
      <c r="F124" s="14" t="n">
        <v>0.097</v>
      </c>
      <c r="G124" s="11"/>
    </row>
    <row r="125" customFormat="false" ht="15" hidden="false" customHeight="false" outlineLevel="0" collapsed="false">
      <c r="A125" s="11" t="n">
        <v>124</v>
      </c>
      <c r="B125" s="11" t="s">
        <v>22</v>
      </c>
      <c r="C125" s="11" t="s">
        <v>261</v>
      </c>
      <c r="D125" s="11" t="s">
        <v>263</v>
      </c>
      <c r="E125" s="12" t="s">
        <v>11</v>
      </c>
      <c r="F125" s="14" t="n">
        <v>0.097</v>
      </c>
      <c r="G125" s="11"/>
    </row>
    <row r="126" customFormat="false" ht="15" hidden="false" customHeight="false" outlineLevel="0" collapsed="false">
      <c r="A126" s="11" t="n">
        <v>125</v>
      </c>
      <c r="B126" s="11" t="s">
        <v>22</v>
      </c>
      <c r="C126" s="11" t="s">
        <v>261</v>
      </c>
      <c r="D126" s="11" t="s">
        <v>264</v>
      </c>
      <c r="E126" s="12" t="s">
        <v>11</v>
      </c>
      <c r="F126" s="14" t="n">
        <v>0.112</v>
      </c>
      <c r="G126" s="11"/>
    </row>
    <row r="127" customFormat="false" ht="15" hidden="false" customHeight="false" outlineLevel="0" collapsed="false">
      <c r="A127" s="11" t="n">
        <v>126</v>
      </c>
      <c r="B127" s="11" t="s">
        <v>22</v>
      </c>
      <c r="C127" s="11" t="s">
        <v>261</v>
      </c>
      <c r="D127" s="11" t="s">
        <v>265</v>
      </c>
      <c r="E127" s="12" t="s">
        <v>11</v>
      </c>
      <c r="F127" s="14" t="n">
        <v>0.098</v>
      </c>
      <c r="G127" s="11"/>
    </row>
    <row r="128" customFormat="false" ht="15" hidden="false" customHeight="false" outlineLevel="0" collapsed="false">
      <c r="A128" s="11" t="n">
        <v>127</v>
      </c>
      <c r="B128" s="11" t="s">
        <v>22</v>
      </c>
      <c r="C128" s="11" t="s">
        <v>261</v>
      </c>
      <c r="D128" s="11" t="s">
        <v>266</v>
      </c>
      <c r="E128" s="12" t="s">
        <v>11</v>
      </c>
      <c r="F128" s="14" t="n">
        <v>0.097</v>
      </c>
      <c r="G128" s="11"/>
    </row>
    <row r="129" customFormat="false" ht="15" hidden="false" customHeight="false" outlineLevel="0" collapsed="false">
      <c r="A129" s="11" t="n">
        <v>128</v>
      </c>
      <c r="B129" s="11" t="s">
        <v>22</v>
      </c>
      <c r="C129" s="11" t="s">
        <v>261</v>
      </c>
      <c r="D129" s="11" t="s">
        <v>267</v>
      </c>
      <c r="E129" s="12" t="s">
        <v>11</v>
      </c>
      <c r="F129" s="14" t="n">
        <v>0.097</v>
      </c>
      <c r="G129" s="11"/>
    </row>
    <row r="130" customFormat="false" ht="15" hidden="false" customHeight="false" outlineLevel="0" collapsed="false">
      <c r="A130" s="11" t="n">
        <v>129</v>
      </c>
      <c r="B130" s="11" t="s">
        <v>22</v>
      </c>
      <c r="C130" s="11" t="s">
        <v>261</v>
      </c>
      <c r="D130" s="11" t="s">
        <v>268</v>
      </c>
      <c r="E130" s="12" t="s">
        <v>11</v>
      </c>
      <c r="F130" s="14" t="n">
        <v>0.098</v>
      </c>
      <c r="G130" s="11"/>
    </row>
    <row r="131" customFormat="false" ht="15" hidden="false" customHeight="false" outlineLevel="0" collapsed="false">
      <c r="A131" s="11" t="n">
        <v>130</v>
      </c>
      <c r="B131" s="11" t="s">
        <v>22</v>
      </c>
      <c r="C131" s="11" t="s">
        <v>261</v>
      </c>
      <c r="D131" s="11" t="s">
        <v>269</v>
      </c>
      <c r="E131" s="12" t="s">
        <v>11</v>
      </c>
      <c r="F131" s="14" t="n">
        <v>0.209</v>
      </c>
      <c r="G131" s="11"/>
    </row>
    <row r="132" customFormat="false" ht="15" hidden="false" customHeight="false" outlineLevel="0" collapsed="false">
      <c r="A132" s="11" t="n">
        <v>131</v>
      </c>
      <c r="B132" s="11" t="s">
        <v>22</v>
      </c>
      <c r="C132" s="11" t="s">
        <v>261</v>
      </c>
      <c r="D132" s="11" t="s">
        <v>270</v>
      </c>
      <c r="E132" s="12" t="s">
        <v>11</v>
      </c>
      <c r="F132" s="14" t="n">
        <v>0.098</v>
      </c>
      <c r="G132" s="11"/>
    </row>
    <row r="133" customFormat="false" ht="15" hidden="false" customHeight="false" outlineLevel="0" collapsed="false">
      <c r="A133" s="11" t="n">
        <v>132</v>
      </c>
      <c r="B133" s="11" t="s">
        <v>22</v>
      </c>
      <c r="C133" s="11" t="s">
        <v>261</v>
      </c>
      <c r="D133" s="11" t="s">
        <v>271</v>
      </c>
      <c r="E133" s="12" t="s">
        <v>11</v>
      </c>
      <c r="F133" s="14" t="n">
        <v>0.1</v>
      </c>
      <c r="G133" s="11"/>
    </row>
    <row r="134" customFormat="false" ht="15" hidden="false" customHeight="false" outlineLevel="0" collapsed="false">
      <c r="A134" s="11" t="n">
        <v>133</v>
      </c>
      <c r="B134" s="11" t="s">
        <v>22</v>
      </c>
      <c r="C134" s="11" t="s">
        <v>261</v>
      </c>
      <c r="D134" s="11" t="s">
        <v>272</v>
      </c>
      <c r="E134" s="12" t="s">
        <v>11</v>
      </c>
      <c r="F134" s="14" t="n">
        <v>0.166</v>
      </c>
      <c r="G134" s="11"/>
    </row>
    <row r="135" customFormat="false" ht="15" hidden="false" customHeight="false" outlineLevel="0" collapsed="false">
      <c r="A135" s="11" t="n">
        <v>134</v>
      </c>
      <c r="B135" s="11" t="s">
        <v>22</v>
      </c>
      <c r="C135" s="11" t="s">
        <v>261</v>
      </c>
      <c r="D135" s="11" t="s">
        <v>273</v>
      </c>
      <c r="E135" s="12" t="s">
        <v>11</v>
      </c>
      <c r="F135" s="14" t="n">
        <v>0.111</v>
      </c>
      <c r="G135" s="11"/>
    </row>
    <row r="136" customFormat="false" ht="15" hidden="false" customHeight="false" outlineLevel="0" collapsed="false">
      <c r="A136" s="11" t="n">
        <v>135</v>
      </c>
      <c r="B136" s="11" t="s">
        <v>23</v>
      </c>
      <c r="C136" s="11" t="s">
        <v>274</v>
      </c>
      <c r="D136" s="11" t="s">
        <v>275</v>
      </c>
      <c r="E136" s="12" t="s">
        <v>11</v>
      </c>
      <c r="F136" s="14" t="n">
        <v>0.084</v>
      </c>
      <c r="G136" s="11"/>
    </row>
    <row r="137" customFormat="false" ht="15" hidden="false" customHeight="false" outlineLevel="0" collapsed="false">
      <c r="A137" s="11" t="n">
        <v>136</v>
      </c>
      <c r="B137" s="11" t="s">
        <v>23</v>
      </c>
      <c r="C137" s="11" t="s">
        <v>274</v>
      </c>
      <c r="D137" s="11" t="s">
        <v>276</v>
      </c>
      <c r="E137" s="12" t="s">
        <v>11</v>
      </c>
      <c r="F137" s="14" t="n">
        <v>0.085</v>
      </c>
      <c r="G137" s="11"/>
    </row>
    <row r="138" customFormat="false" ht="15" hidden="false" customHeight="false" outlineLevel="0" collapsed="false">
      <c r="A138" s="11" t="n">
        <v>137</v>
      </c>
      <c r="B138" s="11" t="s">
        <v>23</v>
      </c>
      <c r="C138" s="11" t="s">
        <v>274</v>
      </c>
      <c r="D138" s="11" t="s">
        <v>277</v>
      </c>
      <c r="E138" s="12" t="s">
        <v>11</v>
      </c>
      <c r="F138" s="14" t="n">
        <v>0.095</v>
      </c>
      <c r="G138" s="11"/>
    </row>
    <row r="139" customFormat="false" ht="15" hidden="false" customHeight="false" outlineLevel="0" collapsed="false">
      <c r="A139" s="11" t="n">
        <v>138</v>
      </c>
      <c r="B139" s="11" t="s">
        <v>23</v>
      </c>
      <c r="C139" s="11" t="s">
        <v>274</v>
      </c>
      <c r="D139" s="11" t="s">
        <v>278</v>
      </c>
      <c r="E139" s="12" t="s">
        <v>11</v>
      </c>
      <c r="F139" s="14" t="n">
        <v>0.256</v>
      </c>
      <c r="G139" s="11"/>
    </row>
    <row r="140" customFormat="false" ht="15" hidden="false" customHeight="false" outlineLevel="0" collapsed="false">
      <c r="A140" s="11" t="n">
        <v>139</v>
      </c>
      <c r="B140" s="11" t="s">
        <v>23</v>
      </c>
      <c r="C140" s="11" t="s">
        <v>274</v>
      </c>
      <c r="D140" s="11" t="s">
        <v>279</v>
      </c>
      <c r="E140" s="12" t="s">
        <v>11</v>
      </c>
      <c r="F140" s="14" t="n">
        <v>0.228</v>
      </c>
      <c r="G140" s="11"/>
    </row>
    <row r="141" customFormat="false" ht="15" hidden="false" customHeight="false" outlineLevel="0" collapsed="false">
      <c r="A141" s="11" t="n">
        <v>140</v>
      </c>
      <c r="B141" s="11" t="s">
        <v>23</v>
      </c>
      <c r="C141" s="11" t="s">
        <v>274</v>
      </c>
      <c r="D141" s="11" t="s">
        <v>280</v>
      </c>
      <c r="E141" s="12" t="s">
        <v>11</v>
      </c>
      <c r="F141" s="14" t="n">
        <v>0.174</v>
      </c>
      <c r="G141" s="11"/>
    </row>
    <row r="142" customFormat="false" ht="15" hidden="false" customHeight="false" outlineLevel="0" collapsed="false">
      <c r="A142" s="11" t="n">
        <v>141</v>
      </c>
      <c r="B142" s="11" t="s">
        <v>23</v>
      </c>
      <c r="C142" s="11" t="s">
        <v>274</v>
      </c>
      <c r="D142" s="11" t="s">
        <v>281</v>
      </c>
      <c r="E142" s="12" t="s">
        <v>11</v>
      </c>
      <c r="F142" s="14" t="n">
        <v>0.169</v>
      </c>
      <c r="G142" s="11"/>
    </row>
    <row r="143" customFormat="false" ht="15" hidden="false" customHeight="false" outlineLevel="0" collapsed="false">
      <c r="A143" s="11" t="n">
        <v>142</v>
      </c>
      <c r="B143" s="11" t="s">
        <v>23</v>
      </c>
      <c r="C143" s="11" t="s">
        <v>274</v>
      </c>
      <c r="D143" s="11" t="s">
        <v>282</v>
      </c>
      <c r="E143" s="12" t="s">
        <v>11</v>
      </c>
      <c r="F143" s="14" t="n">
        <v>0.256</v>
      </c>
      <c r="G143" s="11"/>
    </row>
    <row r="144" customFormat="false" ht="15" hidden="false" customHeight="false" outlineLevel="0" collapsed="false">
      <c r="A144" s="11" t="n">
        <v>143</v>
      </c>
      <c r="B144" s="11" t="s">
        <v>23</v>
      </c>
      <c r="C144" s="11" t="s">
        <v>274</v>
      </c>
      <c r="D144" s="11" t="s">
        <v>283</v>
      </c>
      <c r="E144" s="12" t="s">
        <v>11</v>
      </c>
      <c r="F144" s="14" t="n">
        <v>0.181</v>
      </c>
      <c r="G144" s="11"/>
    </row>
    <row r="145" customFormat="false" ht="15" hidden="false" customHeight="false" outlineLevel="0" collapsed="false">
      <c r="A145" s="11" t="n">
        <v>144</v>
      </c>
      <c r="B145" s="11" t="s">
        <v>23</v>
      </c>
      <c r="C145" s="11" t="s">
        <v>274</v>
      </c>
      <c r="D145" s="11" t="s">
        <v>284</v>
      </c>
      <c r="E145" s="12" t="s">
        <v>11</v>
      </c>
      <c r="F145" s="14" t="n">
        <v>0.112</v>
      </c>
      <c r="G145" s="11"/>
    </row>
    <row r="146" customFormat="false" ht="15" hidden="false" customHeight="false" outlineLevel="0" collapsed="false">
      <c r="A146" s="11" t="n">
        <v>145</v>
      </c>
      <c r="B146" s="11" t="s">
        <v>23</v>
      </c>
      <c r="C146" s="11" t="s">
        <v>274</v>
      </c>
      <c r="D146" s="11" t="s">
        <v>285</v>
      </c>
      <c r="E146" s="12" t="s">
        <v>11</v>
      </c>
      <c r="F146" s="14" t="n">
        <v>0.099</v>
      </c>
      <c r="G146" s="11"/>
    </row>
    <row r="147" customFormat="false" ht="15" hidden="false" customHeight="false" outlineLevel="0" collapsed="false">
      <c r="A147" s="11" t="n">
        <v>146</v>
      </c>
      <c r="B147" s="11" t="s">
        <v>23</v>
      </c>
      <c r="C147" s="11" t="s">
        <v>274</v>
      </c>
      <c r="D147" s="11" t="s">
        <v>286</v>
      </c>
      <c r="E147" s="12" t="s">
        <v>11</v>
      </c>
      <c r="F147" s="14" t="n">
        <v>0.18</v>
      </c>
      <c r="G147" s="11"/>
    </row>
    <row r="148" customFormat="false" ht="15" hidden="false" customHeight="false" outlineLevel="0" collapsed="false">
      <c r="A148" s="11" t="n">
        <v>147</v>
      </c>
      <c r="B148" s="11" t="s">
        <v>23</v>
      </c>
      <c r="C148" s="11" t="s">
        <v>274</v>
      </c>
      <c r="D148" s="11" t="s">
        <v>287</v>
      </c>
      <c r="E148" s="12" t="s">
        <v>11</v>
      </c>
      <c r="F148" s="14" t="n">
        <v>0.381</v>
      </c>
      <c r="G14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2026-10-18T17:38:57Z</dcterms:created>
  <dc:creator>openpyxl</dc:creator>
  <dc:description/>
  <dc:language>en-US</dc:language>
  <cp:lastModifiedBy/>
  <dcterms:modified xsi:type="dcterms:W3CDTF">2026-10-18T17:38:57Z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